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Processing" sheetId="1" state="visible" r:id="rId1"/>
    <sheet xmlns:r="http://schemas.openxmlformats.org/officeDocument/2006/relationships" name="weighing" sheetId="2" state="visible" r:id="rId2"/>
    <sheet xmlns:r="http://schemas.openxmlformats.org/officeDocument/2006/relationships" name="Daily Feeding" sheetId="3" state="visible" r:id="rId3"/>
    <sheet xmlns:r="http://schemas.openxmlformats.org/officeDocument/2006/relationships" name="Daily Obervations " sheetId="4" state="visible" r:id="rId4"/>
    <sheet xmlns:r="http://schemas.openxmlformats.org/officeDocument/2006/relationships" name="Sick ewes" sheetId="5" state="visible" r:id="rId5"/>
  </sheets>
  <definedNames>
    <definedName name="Z_3FD37262_59D1_45E8_99EB_26836814CF79_.wvu.FilterData" localSheetId="4" hidden="1">'Sick ewes'!$A$4:$E$10</definedName>
    <definedName name="_xlnm._FilterDatabase" localSheetId="4" hidden="1">'Sick ewes'!$A$4:$E$10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7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sz val="11"/>
    </font>
    <font>
      <name val="Arial"/>
      <family val="2"/>
      <color rgb="FF000000"/>
      <sz val="11"/>
    </font>
    <font>
      <name val="Aptos Narrow"/>
      <family val="2"/>
      <b val="1"/>
      <color rgb="FFFF4FA7"/>
      <sz val="28"/>
    </font>
    <font>
      <name val="Aptos Narrow"/>
      <family val="2"/>
      <b val="1"/>
      <color theme="1"/>
      <sz val="11"/>
    </font>
    <font>
      <name val="Aptos Narrow"/>
      <family val="2"/>
      <color rgb="FFFFFFFF"/>
      <sz val="11"/>
    </font>
    <font>
      <name val="Aptos Narrow"/>
      <family val="2"/>
      <b val="1"/>
      <color rgb="FFFF0066"/>
      <sz val="11"/>
    </font>
    <font>
      <name val="Aptos Narrow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ptos"/>
      <family val="2"/>
      <color theme="1"/>
      <sz val="12"/>
    </font>
    <font>
      <name val="Aptos Narrow"/>
      <family val="2"/>
      <b val="1"/>
      <color rgb="FFFF0000"/>
      <sz val="11"/>
    </font>
    <font>
      <name val="Aptos Narrow"/>
      <family val="2"/>
      <b val="1"/>
      <color theme="0"/>
      <sz val="24"/>
    </font>
    <font>
      <name val="Aptos Narrow"/>
      <family val="2"/>
      <color theme="1"/>
      <sz val="12"/>
    </font>
    <font>
      <name val="Aptos Narrow"/>
      <family val="2"/>
      <sz val="8"/>
      <scheme val="minor"/>
    </font>
  </fonts>
  <fills count="17">
    <fill>
      <patternFill/>
    </fill>
    <fill>
      <patternFill patternType="gray125"/>
    </fill>
    <fill>
      <patternFill patternType="solid">
        <fgColor rgb="FFFF8CDB"/>
        <bgColor rgb="FFFF8CDB"/>
      </patternFill>
    </fill>
    <fill>
      <patternFill patternType="solid">
        <fgColor rgb="FF00B0F0"/>
        <bgColor rgb="FF00B0F0"/>
      </patternFill>
    </fill>
    <fill>
      <patternFill patternType="solid">
        <fgColor rgb="FFFF40C4"/>
        <bgColor rgb="FFFF40C4"/>
      </patternFill>
    </fill>
    <fill>
      <patternFill patternType="solid">
        <fgColor rgb="FFFF3399"/>
        <bgColor rgb="FFFF3399"/>
      </patternFill>
    </fill>
    <fill>
      <patternFill patternType="solid">
        <fgColor rgb="FFFFFF00"/>
        <bgColor rgb="FFFFFF00"/>
      </patternFill>
    </fill>
    <fill>
      <patternFill patternType="solid">
        <fgColor rgb="FFFF5CCC"/>
        <bgColor rgb="FFFF5CCC"/>
      </patternFill>
    </fill>
    <fill>
      <patternFill patternType="solid">
        <fgColor rgb="FF06C0C5"/>
        <bgColor rgb="FF06C0C5"/>
      </patternFill>
    </fill>
    <fill>
      <patternFill patternType="solid">
        <fgColor rgb="FFFFC000"/>
        <bgColor rgb="FFFFC000"/>
      </patternFill>
    </fill>
    <fill>
      <patternFill patternType="solid">
        <fgColor rgb="FF47D45A"/>
        <bgColor rgb="FF47D45A"/>
      </patternFill>
    </fill>
    <fill>
      <patternFill patternType="solid">
        <fgColor rgb="FFFF0066"/>
        <bgColor rgb="FFFF0066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03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/>
      <right/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50505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6"/>
  </cellStyleXfs>
  <cellXfs count="260">
    <xf numFmtId="0" fontId="0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7" fillId="0" borderId="0" applyAlignment="1" pivotButton="0" quotePrefix="0" xfId="0">
      <alignment horizontal="left" vertical="center"/>
    </xf>
    <xf numFmtId="0" fontId="2" fillId="2" borderId="14" pivotButton="0" quotePrefix="0" xfId="0"/>
    <xf numFmtId="0" fontId="6" fillId="0" borderId="16" applyAlignment="1" pivotButton="0" quotePrefix="0" xfId="0">
      <alignment horizontal="center" vertical="center"/>
    </xf>
    <xf numFmtId="0" fontId="2" fillId="3" borderId="7" pivotButton="0" quotePrefix="0" xfId="0"/>
    <xf numFmtId="0" fontId="6" fillId="0" borderId="17" applyAlignment="1" pivotButton="0" quotePrefix="0" xfId="0">
      <alignment horizontal="center" vertical="center"/>
    </xf>
    <xf numFmtId="0" fontId="4" fillId="0" borderId="5" applyAlignment="1" pivotButton="0" quotePrefix="0" xfId="0">
      <alignment wrapText="1"/>
    </xf>
    <xf numFmtId="0" fontId="6" fillId="0" borderId="1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vertical="center"/>
    </xf>
    <xf numFmtId="0" fontId="4" fillId="0" borderId="6" applyAlignment="1" pivotButton="0" quotePrefix="0" xfId="0">
      <alignment wrapText="1"/>
    </xf>
    <xf numFmtId="0" fontId="2" fillId="0" borderId="21" pivotButton="0" quotePrefix="0" xfId="0"/>
    <xf numFmtId="0" fontId="2" fillId="0" borderId="24" pivotButton="0" quotePrefix="0" xfId="0"/>
    <xf numFmtId="0" fontId="10" fillId="6" borderId="7" pivotButton="0" quotePrefix="0" xfId="0"/>
    <xf numFmtId="1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8" pivotButton="0" quotePrefix="0" xfId="0"/>
    <xf numFmtId="0" fontId="4" fillId="0" borderId="21" applyAlignment="1" pivotButton="0" quotePrefix="0" xfId="0">
      <alignment wrapText="1"/>
    </xf>
    <xf numFmtId="0" fontId="12" fillId="0" borderId="24" applyAlignment="1" pivotButton="0" quotePrefix="0" xfId="0">
      <alignment wrapText="1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2" fillId="7" borderId="7" applyAlignment="1" pivotButton="0" quotePrefix="0" xfId="0">
      <alignment vertical="center"/>
    </xf>
    <xf numFmtId="0" fontId="6" fillId="0" borderId="19" applyAlignment="1" pivotButton="0" quotePrefix="0" xfId="0">
      <alignment horizontal="center"/>
    </xf>
    <xf numFmtId="0" fontId="12" fillId="0" borderId="28" applyAlignment="1" pivotButton="0" quotePrefix="0" xfId="0">
      <alignment wrapText="1"/>
    </xf>
    <xf numFmtId="0" fontId="9" fillId="4" borderId="7" pivotButton="0" quotePrefix="0" xfId="0"/>
    <xf numFmtId="0" fontId="2" fillId="0" borderId="16" pivotButton="0" quotePrefix="0" xfId="0"/>
    <xf numFmtId="0" fontId="11" fillId="0" borderId="0" pivotButton="0" quotePrefix="0" xfId="0"/>
    <xf numFmtId="0" fontId="2" fillId="2" borderId="24" pivotButton="0" quotePrefix="0" xfId="0"/>
    <xf numFmtId="0" fontId="2" fillId="0" borderId="30" pivotButton="0" quotePrefix="0" xfId="0"/>
    <xf numFmtId="0" fontId="2" fillId="0" borderId="31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164" fontId="2" fillId="0" borderId="30" pivotButton="0" quotePrefix="0" xfId="0"/>
    <xf numFmtId="0" fontId="2" fillId="0" borderId="31" pivotButton="0" quotePrefix="0" xfId="0"/>
    <xf numFmtId="0" fontId="2" fillId="2" borderId="28" pivotButton="0" quotePrefix="0" xfId="0"/>
    <xf numFmtId="0" fontId="2" fillId="0" borderId="32" pivotButton="0" quotePrefix="0" xfId="0"/>
    <xf numFmtId="0" fontId="2" fillId="6" borderId="7" pivotButton="0" quotePrefix="0" xfId="0"/>
    <xf numFmtId="0" fontId="2" fillId="0" borderId="34" pivotButton="0" quotePrefix="0" xfId="0"/>
    <xf numFmtId="0" fontId="2" fillId="0" borderId="35" pivotButton="0" quotePrefix="0" xfId="0"/>
    <xf numFmtId="0" fontId="2" fillId="0" borderId="37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164" fontId="2" fillId="0" borderId="35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8" borderId="7" pivotButton="0" quotePrefix="0" xfId="0"/>
    <xf numFmtId="0" fontId="2" fillId="9" borderId="7" pivotButton="0" quotePrefix="0" xfId="0"/>
    <xf numFmtId="0" fontId="2" fillId="6" borderId="7" applyAlignment="1" pivotButton="0" quotePrefix="0" xfId="0">
      <alignment vertical="center"/>
    </xf>
    <xf numFmtId="0" fontId="12" fillId="0" borderId="46" applyAlignment="1" pivotButton="0" quotePrefix="0" xfId="0">
      <alignment wrapText="1"/>
    </xf>
    <xf numFmtId="0" fontId="12" fillId="0" borderId="49" applyAlignment="1" pivotButton="0" quotePrefix="0" xfId="0">
      <alignment wrapText="1"/>
    </xf>
    <xf numFmtId="0" fontId="2" fillId="3" borderId="50" pivotButton="0" quotePrefix="0" xfId="0"/>
    <xf numFmtId="0" fontId="2" fillId="0" borderId="46" pivotButton="0" quotePrefix="0" xfId="0"/>
    <xf numFmtId="0" fontId="2" fillId="0" borderId="49" pivotButton="0" quotePrefix="0" xfId="0"/>
    <xf numFmtId="0" fontId="2" fillId="10" borderId="7" pivotButton="0" quotePrefix="0" xfId="0"/>
    <xf numFmtId="0" fontId="4" fillId="0" borderId="52" applyAlignment="1" pivotButton="0" quotePrefix="0" xfId="0">
      <alignment wrapText="1"/>
    </xf>
    <xf numFmtId="0" fontId="12" fillId="0" borderId="54" applyAlignment="1" pivotButton="0" quotePrefix="0" xfId="0">
      <alignment wrapText="1"/>
    </xf>
    <xf numFmtId="0" fontId="12" fillId="0" borderId="55" applyAlignment="1" pivotButton="0" quotePrefix="0" xfId="0">
      <alignment wrapText="1"/>
    </xf>
    <xf numFmtId="0" fontId="2" fillId="0" borderId="52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41" applyAlignment="1" pivotButton="0" quotePrefix="0" xfId="0">
      <alignment horizontal="center"/>
    </xf>
    <xf numFmtId="164" fontId="2" fillId="0" borderId="57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/>
    </xf>
    <xf numFmtId="0" fontId="2" fillId="0" borderId="35" applyAlignment="1" pivotButton="0" quotePrefix="0" xfId="0">
      <alignment horizontal="center" vertical="center" wrapText="1"/>
    </xf>
    <xf numFmtId="0" fontId="2" fillId="9" borderId="7" applyAlignment="1" pivotButton="0" quotePrefix="0" xfId="0">
      <alignment vertical="center"/>
    </xf>
    <xf numFmtId="0" fontId="2" fillId="0" borderId="3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/>
    </xf>
    <xf numFmtId="0" fontId="13" fillId="0" borderId="19" applyAlignment="1" pivotButton="0" quotePrefix="0" xfId="0">
      <alignment horizontal="center"/>
    </xf>
    <xf numFmtId="164" fontId="2" fillId="0" borderId="56" pivotButton="0" quotePrefix="0" xfId="0"/>
    <xf numFmtId="0" fontId="2" fillId="0" borderId="58" pivotButton="0" quotePrefix="0" xfId="0"/>
    <xf numFmtId="0" fontId="2" fillId="0" borderId="59" pivotButton="0" quotePrefix="0" xfId="0"/>
    <xf numFmtId="0" fontId="2" fillId="9" borderId="60" pivotButton="0" quotePrefix="0" xfId="0"/>
    <xf numFmtId="14" fontId="2" fillId="0" borderId="0" applyAlignment="1" pivotButton="0" quotePrefix="0" xfId="0">
      <alignment horizontal="right" vertical="center"/>
    </xf>
    <xf numFmtId="0" fontId="2" fillId="0" borderId="37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8" borderId="7" applyAlignment="1" pivotButton="0" quotePrefix="0" xfId="0">
      <alignment vertical="center"/>
    </xf>
    <xf numFmtId="0" fontId="9" fillId="11" borderId="7" applyAlignment="1" pivotButton="0" quotePrefix="0" xfId="0">
      <alignment vertical="center" wrapText="1"/>
    </xf>
    <xf numFmtId="0" fontId="6" fillId="6" borderId="61" applyAlignment="1" pivotButton="0" quotePrefix="0" xfId="0">
      <alignment horizontal="center"/>
    </xf>
    <xf numFmtId="0" fontId="6" fillId="6" borderId="62" applyAlignment="1" pivotButton="0" quotePrefix="0" xfId="0">
      <alignment horizontal="center"/>
    </xf>
    <xf numFmtId="0" fontId="6" fillId="6" borderId="63" applyAlignment="1" pivotButton="0" quotePrefix="0" xfId="0">
      <alignment horizontal="center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5" applyAlignment="1" pivotButton="0" quotePrefix="0" xfId="0">
      <alignment vertical="center"/>
    </xf>
    <xf numFmtId="0" fontId="2" fillId="0" borderId="3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57" pivotButton="0" quotePrefix="0" xfId="0"/>
    <xf numFmtId="14" fontId="2" fillId="0" borderId="0" applyAlignment="1" pivotButton="0" quotePrefix="0" xfId="0">
      <alignment horizontal="center" vertical="center"/>
    </xf>
    <xf numFmtId="0" fontId="9" fillId="11" borderId="7" applyAlignment="1" pivotButton="0" quotePrefix="0" xfId="0">
      <alignment horizontal="left" vertical="center" wrapText="1"/>
    </xf>
    <xf numFmtId="164" fontId="11" fillId="0" borderId="0" applyAlignment="1" pivotButton="0" quotePrefix="0" xfId="0">
      <alignment vertical="center"/>
    </xf>
    <xf numFmtId="0" fontId="2" fillId="12" borderId="50" pivotButton="0" quotePrefix="0" xfId="0"/>
    <xf numFmtId="164" fontId="2" fillId="0" borderId="37" pivotButton="0" quotePrefix="0" xfId="0"/>
    <xf numFmtId="164" fontId="2" fillId="0" borderId="38" pivotButton="0" quotePrefix="0" xfId="0"/>
    <xf numFmtId="0" fontId="2" fillId="0" borderId="58" applyAlignment="1" pivotButton="0" quotePrefix="0" xfId="0">
      <alignment horizontal="center"/>
    </xf>
    <xf numFmtId="0" fontId="2" fillId="0" borderId="59" applyAlignment="1" pivotButton="0" quotePrefix="0" xfId="0">
      <alignment horizontal="center"/>
    </xf>
    <xf numFmtId="0" fontId="2" fillId="10" borderId="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77" pivotButton="0" quotePrefix="0" xfId="0"/>
    <xf numFmtId="164" fontId="2" fillId="0" borderId="0" pivotButton="0" quotePrefix="0" xfId="0"/>
    <xf numFmtId="0" fontId="2" fillId="0" borderId="27" applyAlignment="1" pivotButton="0" quotePrefix="0" xfId="0">
      <alignment horizontal="center" vertical="center" wrapText="1"/>
    </xf>
    <xf numFmtId="0" fontId="15" fillId="0" borderId="24" applyAlignment="1" pivotButton="0" quotePrefix="0" xfId="0">
      <alignment wrapText="1"/>
    </xf>
    <xf numFmtId="0" fontId="15" fillId="0" borderId="46" applyAlignment="1" pivotButton="0" quotePrefix="0" xfId="0">
      <alignment wrapText="1"/>
    </xf>
    <xf numFmtId="0" fontId="15" fillId="0" borderId="54" applyAlignment="1" pivotButton="0" quotePrefix="0" xfId="0">
      <alignment wrapText="1"/>
    </xf>
    <xf numFmtId="0" fontId="2" fillId="7" borderId="7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6" borderId="76" applyAlignment="1" pivotButton="0" quotePrefix="0" xfId="0">
      <alignment vertical="center"/>
    </xf>
    <xf numFmtId="0" fontId="2" fillId="9" borderId="76" applyAlignment="1" pivotButton="0" quotePrefix="0" xfId="0">
      <alignment vertical="center"/>
    </xf>
    <xf numFmtId="0" fontId="2" fillId="8" borderId="76" applyAlignment="1" pivotButton="0" quotePrefix="0" xfId="0">
      <alignment vertical="center"/>
    </xf>
    <xf numFmtId="0" fontId="2" fillId="10" borderId="76" applyAlignment="1" pivotButton="0" quotePrefix="0" xfId="0">
      <alignment vertical="center"/>
    </xf>
    <xf numFmtId="164" fontId="2" fillId="0" borderId="57" applyAlignment="1" pivotButton="0" quotePrefix="0" xfId="0">
      <alignment horizontal="center" vertical="center" wrapText="1"/>
    </xf>
    <xf numFmtId="0" fontId="0" fillId="14" borderId="81" pivotButton="0" quotePrefix="0" xfId="0"/>
    <xf numFmtId="0" fontId="0" fillId="15" borderId="81" pivotButton="0" quotePrefix="0" xfId="0"/>
    <xf numFmtId="0" fontId="0" fillId="0" borderId="81" applyAlignment="1" pivotButton="0" quotePrefix="0" xfId="0">
      <alignment horizontal="center" vertical="center"/>
    </xf>
    <xf numFmtId="14" fontId="2" fillId="13" borderId="79" applyAlignment="1" pivotButton="0" quotePrefix="0" xfId="0">
      <alignment vertical="center"/>
    </xf>
    <xf numFmtId="0" fontId="0" fillId="14" borderId="83" pivotButton="0" quotePrefix="0" xfId="0"/>
    <xf numFmtId="0" fontId="0" fillId="14" borderId="84" pivotButton="0" quotePrefix="0" xfId="0"/>
    <xf numFmtId="0" fontId="0" fillId="15" borderId="83" pivotButton="0" quotePrefix="0" xfId="0"/>
    <xf numFmtId="0" fontId="0" fillId="15" borderId="84" pivotButton="0" quotePrefix="0" xfId="0"/>
    <xf numFmtId="0" fontId="0" fillId="0" borderId="81" pivotButton="0" quotePrefix="0" xfId="0"/>
    <xf numFmtId="0" fontId="0" fillId="16" borderId="81" pivotButton="0" quotePrefix="0" xfId="0"/>
    <xf numFmtId="0" fontId="0" fillId="14" borderId="85" pivotButton="0" quotePrefix="0" xfId="0"/>
    <xf numFmtId="0" fontId="0" fillId="14" borderId="86" pivotButton="0" quotePrefix="0" xfId="0"/>
    <xf numFmtId="0" fontId="0" fillId="15" borderId="85" pivotButton="0" quotePrefix="0" xfId="0"/>
    <xf numFmtId="0" fontId="0" fillId="15" borderId="86" pivotButton="0" quotePrefix="0" xfId="0"/>
    <xf numFmtId="14" fontId="2" fillId="13" borderId="79" applyAlignment="1" pivotButton="0" quotePrefix="0" xfId="0">
      <alignment horizontal="right" vertical="center"/>
    </xf>
    <xf numFmtId="14" fontId="2" fillId="13" borderId="79" applyAlignment="1" pivotButton="0" quotePrefix="0" xfId="0">
      <alignment horizontal="center" vertical="center" wrapText="1"/>
    </xf>
    <xf numFmtId="14" fontId="2" fillId="13" borderId="79" applyAlignment="1" pivotButton="0" quotePrefix="0" xfId="0">
      <alignment horizontal="center" vertical="center"/>
    </xf>
    <xf numFmtId="14" fontId="2" fillId="13" borderId="81" applyAlignment="1" pivotButton="0" quotePrefix="0" xfId="0">
      <alignment vertical="center"/>
    </xf>
    <xf numFmtId="0" fontId="0" fillId="14" borderId="87" pivotButton="0" quotePrefix="0" xfId="0"/>
    <xf numFmtId="0" fontId="0" fillId="14" borderId="88" pivotButton="0" quotePrefix="0" xfId="0"/>
    <xf numFmtId="0" fontId="0" fillId="15" borderId="88" pivotButton="0" quotePrefix="0" xfId="0"/>
    <xf numFmtId="0" fontId="0" fillId="14" borderId="89" pivotButton="0" quotePrefix="0" xfId="0"/>
    <xf numFmtId="0" fontId="0" fillId="14" borderId="90" pivotButton="0" quotePrefix="0" xfId="0"/>
    <xf numFmtId="0" fontId="0" fillId="15" borderId="90" pivotButton="0" quotePrefix="0" xfId="0"/>
    <xf numFmtId="0" fontId="0" fillId="15" borderId="9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0" borderId="53" applyAlignment="1" pivotButton="0" quotePrefix="0" xfId="0">
      <alignment horizontal="center" vertical="center" wrapText="1"/>
    </xf>
    <xf numFmtId="0" fontId="3" fillId="0" borderId="29" pivotButton="0" quotePrefix="0" xfId="0"/>
    <xf numFmtId="0" fontId="3" fillId="0" borderId="32" pivotButton="0" quotePrefix="0" xfId="0"/>
    <xf numFmtId="164" fontId="2" fillId="0" borderId="36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0" borderId="33" pivotButton="0" quotePrefix="0" xfId="0"/>
    <xf numFmtId="0" fontId="2" fillId="0" borderId="39" applyAlignment="1" pivotButton="0" quotePrefix="0" xfId="0">
      <alignment horizontal="center" vertical="center" wrapText="1"/>
    </xf>
    <xf numFmtId="0" fontId="3" fillId="0" borderId="26" pivotButton="0" quotePrefix="0" xfId="0"/>
    <xf numFmtId="0" fontId="3" fillId="0" borderId="30" pivotButton="0" quotePrefix="0" xfId="0"/>
    <xf numFmtId="0" fontId="2" fillId="0" borderId="41" applyAlignment="1" pivotButton="0" quotePrefix="0" xfId="0">
      <alignment horizontal="center" vertical="center" wrapText="1"/>
    </xf>
    <xf numFmtId="0" fontId="3" fillId="0" borderId="27" pivotButton="0" quotePrefix="0" xfId="0"/>
    <xf numFmtId="0" fontId="3" fillId="0" borderId="31" pivotButton="0" quotePrefix="0" xfId="0"/>
    <xf numFmtId="164" fontId="2" fillId="0" borderId="36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7" pivotButton="0" quotePrefix="0" xfId="0"/>
    <xf numFmtId="0" fontId="6" fillId="0" borderId="10" applyAlignment="1" pivotButton="0" quotePrefix="0" xfId="0">
      <alignment horizontal="center" vertical="center"/>
    </xf>
    <xf numFmtId="0" fontId="3" fillId="0" borderId="15" pivotButton="0" quotePrefix="0" xfId="0"/>
    <xf numFmtId="0" fontId="8" fillId="0" borderId="11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3" pivotButton="0" quotePrefix="0" xfId="0"/>
    <xf numFmtId="164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3" fillId="0" borderId="45" pivotButton="0" quotePrefix="0" xfId="0"/>
    <xf numFmtId="0" fontId="3" fillId="0" borderId="51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 wrapText="1"/>
    </xf>
    <xf numFmtId="0" fontId="3" fillId="0" borderId="44" pivotButton="0" quotePrefix="0" xfId="0"/>
    <xf numFmtId="0" fontId="3" fillId="0" borderId="48" pivotButton="0" quotePrefix="0" xfId="0"/>
    <xf numFmtId="0" fontId="2" fillId="8" borderId="64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6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8" pivotButton="0" quotePrefix="0" xfId="0"/>
    <xf numFmtId="0" fontId="4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4" pivotButton="0" quotePrefix="0" xfId="0"/>
    <xf numFmtId="0" fontId="2" fillId="0" borderId="67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/>
    </xf>
    <xf numFmtId="0" fontId="3" fillId="0" borderId="69" pivotButton="0" quotePrefix="0" xfId="0"/>
    <xf numFmtId="0" fontId="3" fillId="0" borderId="70" pivotButton="0" quotePrefix="0" xfId="0"/>
    <xf numFmtId="0" fontId="1" fillId="0" borderId="81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1" fillId="0" borderId="81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3" fillId="0" borderId="22" pivotButton="0" quotePrefix="0" xfId="0"/>
    <xf numFmtId="0" fontId="3" fillId="0" borderId="23" pivotButton="0" quotePrefix="0" xfId="0"/>
    <xf numFmtId="0" fontId="2" fillId="5" borderId="64" applyAlignment="1" pivotButton="0" quotePrefix="0" xfId="0">
      <alignment horizontal="center" vertical="center" wrapText="1"/>
    </xf>
    <xf numFmtId="0" fontId="0" fillId="0" borderId="7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0" fillId="14" borderId="79" applyAlignment="1" pivotButton="0" quotePrefix="0" xfId="0">
      <alignment horizontal="center"/>
    </xf>
    <xf numFmtId="0" fontId="0" fillId="14" borderId="80" applyAlignment="1" pivotButton="0" quotePrefix="0" xfId="0">
      <alignment horizontal="center"/>
    </xf>
    <xf numFmtId="0" fontId="0" fillId="15" borderId="79" applyAlignment="1" pivotButton="0" quotePrefix="0" xfId="0">
      <alignment horizontal="center"/>
    </xf>
    <xf numFmtId="0" fontId="0" fillId="15" borderId="80" applyAlignment="1" pivotButton="0" quotePrefix="0" xfId="0">
      <alignment horizontal="center"/>
    </xf>
    <xf numFmtId="0" fontId="14" fillId="3" borderId="71" applyAlignment="1" pivotButton="0" quotePrefix="0" xfId="0">
      <alignment horizontal="center" vertical="center"/>
    </xf>
    <xf numFmtId="0" fontId="3" fillId="0" borderId="72" pivotButton="0" quotePrefix="0" xfId="0"/>
    <xf numFmtId="0" fontId="3" fillId="0" borderId="73" pivotButton="0" quotePrefix="0" xfId="0"/>
    <xf numFmtId="0" fontId="3" fillId="0" borderId="74" pivotButton="0" quotePrefix="0" xfId="0"/>
    <xf numFmtId="0" fontId="3" fillId="0" borderId="75" pivotButton="0" quotePrefix="0" xfId="0"/>
    <xf numFmtId="0" fontId="3" fillId="0" borderId="76" pivotButton="0" quotePrefix="0" xfId="0"/>
    <xf numFmtId="0" fontId="2" fillId="8" borderId="76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 wrapText="1"/>
    </xf>
    <xf numFmtId="0" fontId="2" fillId="0" borderId="9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2" fillId="0" borderId="61" applyAlignment="1" pivotButton="0" quotePrefix="0" xfId="0">
      <alignment horizontal="center" vertical="center"/>
    </xf>
    <xf numFmtId="0" fontId="2" fillId="0" borderId="63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30" pivotButton="0" quotePrefix="0" xfId="0"/>
    <xf numFmtId="0" fontId="2" fillId="5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14" borderId="81" applyAlignment="1" pivotButton="0" quotePrefix="0" xfId="0">
      <alignment horizontal="center"/>
    </xf>
    <xf numFmtId="0" fontId="0" fillId="0" borderId="80" pivotButton="0" quotePrefix="0" xfId="0"/>
    <xf numFmtId="0" fontId="0" fillId="15" borderId="81" applyAlignment="1" pivotButton="0" quotePrefix="0" xfId="0">
      <alignment horizontal="center"/>
    </xf>
    <xf numFmtId="0" fontId="0" fillId="0" borderId="82" pivotButton="0" quotePrefix="0" xfId="0"/>
    <xf numFmtId="0" fontId="2" fillId="5" borderId="76" applyAlignment="1" pivotButton="0" quotePrefix="0" xfId="0">
      <alignment horizontal="center" vertical="center" wrapText="1"/>
    </xf>
    <xf numFmtId="0" fontId="5" fillId="0" borderId="76" applyAlignment="1" pivotButton="0" quotePrefix="0" xfId="0">
      <alignment horizontal="center" vertical="center"/>
    </xf>
    <xf numFmtId="0" fontId="6" fillId="0" borderId="101" applyAlignment="1" pivotButton="0" quotePrefix="0" xfId="0">
      <alignment horizontal="center" vertical="center"/>
    </xf>
    <xf numFmtId="0" fontId="8" fillId="0" borderId="10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164" fontId="2" fillId="0" borderId="33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2" pivotButton="0" quotePrefix="0" xfId="0"/>
    <xf numFmtId="0" fontId="2" fillId="0" borderId="102" applyAlignment="1" pivotButton="0" quotePrefix="0" xfId="0">
      <alignment horizontal="center" vertical="center" wrapText="1"/>
    </xf>
    <xf numFmtId="0" fontId="2" fillId="0" borderId="100" applyAlignment="1" pivotButton="0" quotePrefix="0" xfId="0">
      <alignment horizontal="center" vertical="center" wrapText="1"/>
    </xf>
    <xf numFmtId="0" fontId="2" fillId="0" borderId="9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14" fillId="3" borderId="76" applyAlignment="1" pivotButton="0" quotePrefix="0" xfId="0">
      <alignment horizontal="center" vertical="center"/>
    </xf>
  </cellXfs>
  <cellStyles count="1">
    <cellStyle name="Normal" xfId="0" builtinId="0"/>
  </cellStyles>
  <dxfs count="21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rgb="FF06C0C5"/>
          <bgColor rgb="FF06C0C5"/>
        </patternFill>
      </fill>
      <alignment horizontal="general" vertical="center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4" defaultTableStyle="TableStyleMedium9" defaultPivotStyle="PivotStyleLight16">
    <tableStyle name="Processing-style" pivot="0" count="4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Daily Feeding-style" pivot="0" count="4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Daily Feeding-style 2" pivot="0" count="4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Sick ewes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3:P19" headerRowCount="1">
  <tableColumns count="16">
    <tableColumn id="1" name="EID"/>
    <tableColumn id="2" name="Sheep ID"/>
    <tableColumn id="3" name=" Weight (kg)"/>
    <tableColumn id="4" name="BCS"/>
    <tableColumn id="5" name="Ultraject"/>
    <tableColumn id="6" name="Levamintic"/>
    <tableColumn id="7" name="Deca- Sure"/>
    <tableColumn id="8" name=" Ovi-ClosP"/>
    <tableColumn id="9" name="Complex"/>
    <tableColumn id="10" name="ivemax"/>
    <tableColumn id="11" name="BCo-Bolic"/>
    <tableColumn id="12" name="Implant (Revalor H??) "/>
    <tableColumn id="13" name="2ML Multivax P " dataDxfId="4"/>
    <tableColumn id="14" name="2nd Bco-Bolic (13/08/26)" dataDxfId="3"/>
    <tableColumn id="19" name="Kyroligo (13/08/26)" dataDxfId="2"/>
    <tableColumn id="17" name="Vitamin B1 (13/08/26) " dataDxfId="1"/>
  </tableColumns>
  <tableStyleInfo name="Processing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H54" headerRowCount="1">
  <tableColumns count="8">
    <tableColumn id="1" name="Date"/>
    <tableColumn id="2" name=" Morning Feeders"/>
    <tableColumn id="3" name="Feed Out"/>
    <tableColumn id="4" name="Feed In"/>
    <tableColumn id="5" name="Afternoon Feeders"/>
    <tableColumn id="6" name="Feed out "/>
    <tableColumn id="7" name="Feed In2"/>
    <tableColumn id="8" name="Notes "/>
  </tableColumns>
  <tableStyleInfo name="Daily Fee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M15:P20" headerRowCount="1">
  <tableColumns count="4">
    <tableColumn id="1" name="Mixing Days "/>
    <tableColumn id="2" name="Bags Mixed "/>
    <tableColumn id="3" name="Bags left "/>
    <tableColumn id="4" name="Column1" dataDxfId="0"/>
  </tableColumns>
  <tableStyleInfo name="Daily Feeding-style 2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4:E10" headerRowCount="1">
  <tableColumns count="5">
    <tableColumn id="1" name="Sheep ID  "/>
    <tableColumn id="2" name="Date"/>
    <tableColumn id="3" name="Symptoms "/>
    <tableColumn id="4" name="Treatment "/>
    <tableColumn id="5" name="Condition after Treatment"/>
  </tableColumns>
  <tableStyleInfo name="Sick ew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T20"/>
  <sheetViews>
    <sheetView topLeftCell="A2" zoomScale="85" workbookViewId="0">
      <selection activeCell="R21" sqref="R21"/>
    </sheetView>
  </sheetViews>
  <sheetFormatPr baseColWidth="8" defaultColWidth="12.64453125" defaultRowHeight="15" customHeight="1"/>
  <cols>
    <col width="17.62109375" customWidth="1" style="160" min="1" max="1"/>
    <col width="14.2578125" customWidth="1" style="160" min="2" max="2"/>
    <col width="11.703125" customWidth="1" style="160" min="3" max="3"/>
    <col width="14.390625" customWidth="1" style="160" min="4" max="4"/>
    <col width="13.71875" customWidth="1" style="160" min="5" max="5"/>
    <col width="13.046875" customWidth="1" style="160" min="6" max="6"/>
    <col width="11.97265625" customWidth="1" style="160" min="7" max="7"/>
    <col width="10.0859375" customWidth="1" style="160" min="8" max="8"/>
    <col width="12.77734375" customWidth="1" style="160" min="9" max="9"/>
    <col width="14.796875" customWidth="1" style="160" min="10" max="10"/>
    <col width="18.83203125" customWidth="1" style="160" min="11" max="12"/>
    <col width="15.73828125" customWidth="1" style="160" min="13" max="13"/>
    <col width="23" customWidth="1" style="160" min="14" max="14"/>
    <col width="18.4296875" customWidth="1" style="160" min="15" max="15"/>
    <col width="19.1015625" customWidth="1" style="160" min="16" max="16"/>
    <col width="30.9375" customWidth="1" style="160" min="17" max="17"/>
    <col width="8.609375" customWidth="1" style="160" min="18" max="26"/>
  </cols>
  <sheetData>
    <row r="3">
      <c r="A3" s="6" t="inlineStr">
        <is>
          <t>EID</t>
        </is>
      </c>
      <c r="B3" s="6" t="inlineStr">
        <is>
          <t>Sheep ID</t>
        </is>
      </c>
      <c r="C3" s="6" t="inlineStr">
        <is>
          <t xml:space="preserve"> Weight (kg)</t>
        </is>
      </c>
      <c r="D3" s="6" t="inlineStr">
        <is>
          <t>BCS</t>
        </is>
      </c>
      <c r="E3" s="6" t="inlineStr">
        <is>
          <t>Ultraject</t>
        </is>
      </c>
      <c r="F3" s="6" t="inlineStr">
        <is>
          <t>Levamintic</t>
        </is>
      </c>
      <c r="G3" s="6" t="inlineStr">
        <is>
          <t>Deca- Sure</t>
        </is>
      </c>
      <c r="H3" s="6" t="inlineStr">
        <is>
          <t xml:space="preserve"> Ovi-ClosP</t>
        </is>
      </c>
      <c r="I3" s="6" t="inlineStr">
        <is>
          <t>Complex</t>
        </is>
      </c>
      <c r="J3" s="6" t="inlineStr">
        <is>
          <t>ivemax</t>
        </is>
      </c>
      <c r="K3" s="6" t="inlineStr">
        <is>
          <t>BCo-Bolic</t>
        </is>
      </c>
      <c r="L3" s="6" t="inlineStr">
        <is>
          <t xml:space="preserve">Implant (Revalor H??) </t>
        </is>
      </c>
      <c r="M3" s="6" t="inlineStr">
        <is>
          <t xml:space="preserve">2ML Multivax P </t>
        </is>
      </c>
      <c r="N3" s="6" t="inlineStr">
        <is>
          <t>2nd Bco-Bolic (13/08/26)</t>
        </is>
      </c>
      <c r="O3" s="6" t="inlineStr">
        <is>
          <t>Kyroligo (13/08/26)</t>
        </is>
      </c>
      <c r="P3" s="6" t="inlineStr">
        <is>
          <t xml:space="preserve">Vitamin B1 (13/08/26) </t>
        </is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26" t="n"/>
      <c r="N4" s="112" t="n"/>
      <c r="O4" s="112" t="n"/>
      <c r="P4" s="112" t="n"/>
      <c r="Q4" s="29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26" t="n"/>
      <c r="N5" s="112" t="n"/>
      <c r="O5" s="112" t="n"/>
      <c r="P5" s="112" t="n"/>
      <c r="Q5" s="40" t="n"/>
    </row>
    <row r="6">
      <c r="A6" s="113" t="n"/>
      <c r="B6" s="113" t="n"/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48" t="n"/>
    </row>
    <row r="7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49" t="n"/>
    </row>
    <row r="8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114" t="n"/>
      <c r="O8" s="114" t="n"/>
      <c r="P8" s="114" t="n"/>
      <c r="Q8" s="56" t="n"/>
    </row>
    <row r="9">
      <c r="A9" s="113" t="n"/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</row>
    <row r="10">
      <c r="A10" s="113" t="n"/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115" t="n"/>
      <c r="O11" s="115" t="n"/>
      <c r="P11" s="115" t="n"/>
      <c r="Q11" s="76" t="n"/>
    </row>
    <row r="12">
      <c r="A12" s="113" t="n"/>
      <c r="B12" s="113" t="n"/>
      <c r="C12" s="80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116" t="n"/>
      <c r="O13" s="116" t="n"/>
      <c r="P13" s="116" t="n"/>
      <c r="Q13" s="213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116" t="n"/>
      <c r="O14" s="116" t="n"/>
      <c r="P14" s="116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116" t="n"/>
      <c r="O15" s="116" t="n"/>
      <c r="P15" s="116" t="n"/>
    </row>
    <row r="16" ht="15" customHeight="1" s="160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116" t="n"/>
      <c r="O16" s="116" t="n"/>
      <c r="P16" s="116" t="n"/>
      <c r="Q16" s="213" t="n"/>
      <c r="R16" s="214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116" t="n"/>
      <c r="O17" s="116" t="n"/>
      <c r="P17" s="116" t="n"/>
    </row>
    <row r="18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17" t="n"/>
      <c r="O18" s="117" t="n"/>
      <c r="P18" s="117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114" t="n"/>
      <c r="O19" s="114" t="n"/>
      <c r="P19" s="114" t="n"/>
    </row>
    <row r="2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3">
    <mergeCell ref="R16:T17"/>
    <mergeCell ref="Q16:Q17"/>
    <mergeCell ref="Q13:Q15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43"/>
  <sheetViews>
    <sheetView zoomScale="86" workbookViewId="0">
      <selection activeCell="T21" sqref="T21"/>
    </sheetView>
  </sheetViews>
  <sheetFormatPr baseColWidth="8" defaultColWidth="12.64453125" defaultRowHeight="15" customHeight="1"/>
  <cols>
    <col width="10.76171875" customWidth="1" style="160" min="1" max="1"/>
    <col width="12.9140625" customWidth="1" style="160" min="2" max="2"/>
    <col width="11.1640625" customWidth="1" style="160" min="3" max="3"/>
    <col width="11.43359375" customWidth="1" style="160" min="4" max="6"/>
    <col width="11.8359375" customWidth="1" style="160" min="7" max="8"/>
    <col width="8.609375" customWidth="1" style="160" min="9" max="9"/>
    <col width="11.8359375" customWidth="1" style="160" min="10" max="10"/>
    <col width="8.609375" customWidth="1" style="160" min="11" max="11"/>
    <col width="9.953125" customWidth="1" style="160" min="12" max="12"/>
    <col width="11.296875" customWidth="1" style="160" min="13" max="18"/>
    <col width="8.609375" customWidth="1" style="160" min="19" max="26"/>
  </cols>
  <sheetData>
    <row r="2">
      <c r="A2" s="215" t="inlineStr">
        <is>
          <t>Sheep ID</t>
        </is>
      </c>
      <c r="B2" s="216" t="inlineStr">
        <is>
          <t>Weight (kg)</t>
        </is>
      </c>
      <c r="C2" s="217" t="n"/>
      <c r="D2" s="217" t="n"/>
      <c r="E2" s="217" t="n"/>
      <c r="F2" s="217" t="n"/>
      <c r="G2" s="217" t="n"/>
      <c r="H2" s="218" t="n"/>
    </row>
    <row r="3">
      <c r="A3" s="219" t="n"/>
      <c r="B3" s="1" t="inlineStr">
        <is>
          <t>30/07/2026</t>
        </is>
      </c>
      <c r="C3" s="1" t="inlineStr">
        <is>
          <t>06/08/2026</t>
        </is>
      </c>
      <c r="D3" s="1" t="inlineStr">
        <is>
          <t>13/08/2026</t>
        </is>
      </c>
      <c r="E3" s="1" t="inlineStr">
        <is>
          <t>20/08/2026</t>
        </is>
      </c>
      <c r="F3" s="1" t="inlineStr">
        <is>
          <t>27/08/2026</t>
        </is>
      </c>
      <c r="G3" s="1" t="inlineStr">
        <is>
          <t>03/09/2026</t>
        </is>
      </c>
      <c r="H3" s="2" t="inlineStr">
        <is>
          <t>10/09/2026</t>
        </is>
      </c>
      <c r="J3" s="3" t="inlineStr">
        <is>
          <t>Removed</t>
        </is>
      </c>
      <c r="L3" s="182" t="inlineStr">
        <is>
          <t>Sheep ID</t>
        </is>
      </c>
      <c r="M3" s="184" t="inlineStr">
        <is>
          <t>FAMACHA</t>
        </is>
      </c>
      <c r="N3" s="217" t="n"/>
      <c r="O3" s="217" t="n"/>
      <c r="P3" s="217" t="n"/>
      <c r="Q3" s="217" t="n"/>
      <c r="R3" s="217" t="n"/>
    </row>
    <row r="4">
      <c r="A4" s="4" t="n"/>
      <c r="B4" s="5" t="n"/>
      <c r="C4" s="5" t="n"/>
      <c r="D4" s="5" t="n"/>
      <c r="E4" s="5" t="n"/>
      <c r="F4" s="5" t="n"/>
      <c r="G4" s="5" t="n"/>
      <c r="H4" s="7" t="n"/>
      <c r="J4" s="9" t="n"/>
      <c r="L4" s="220" t="n"/>
      <c r="M4" s="11" t="n"/>
      <c r="N4" s="11" t="n"/>
      <c r="O4" s="11" t="n"/>
      <c r="P4" s="11" t="n"/>
      <c r="Q4" s="11" t="n"/>
      <c r="R4" s="15" t="n"/>
    </row>
    <row r="5" ht="16.5" customHeight="1" s="160">
      <c r="A5" s="16" t="n"/>
      <c r="B5" s="17" t="n"/>
      <c r="C5" s="17" t="n"/>
      <c r="D5" s="17" t="n"/>
      <c r="E5" s="17" t="n"/>
      <c r="F5" s="17" t="n"/>
      <c r="G5" s="17" t="n"/>
      <c r="H5" s="21" t="n"/>
      <c r="L5" s="22" t="n"/>
      <c r="M5" s="23" t="n"/>
      <c r="N5" s="109" t="n"/>
      <c r="O5" s="23" t="n"/>
      <c r="P5" s="23" t="n"/>
      <c r="Q5" s="23" t="n"/>
      <c r="R5" s="28" t="n"/>
    </row>
    <row r="6" ht="16.5" customHeight="1" s="160">
      <c r="A6" s="16" t="n"/>
      <c r="B6" s="17" t="n"/>
      <c r="C6" s="17" t="n"/>
      <c r="D6" s="17" t="n"/>
      <c r="E6" s="17" t="n"/>
      <c r="F6" s="17" t="n"/>
      <c r="G6" s="17" t="n"/>
      <c r="H6" s="21" t="n"/>
      <c r="L6" s="22" t="n"/>
      <c r="M6" s="23" t="n"/>
      <c r="N6" s="109" t="n"/>
      <c r="O6" s="23" t="n"/>
      <c r="P6" s="23" t="n"/>
      <c r="Q6" s="23" t="n"/>
      <c r="R6" s="28" t="n"/>
    </row>
    <row r="7" ht="16.5" customHeight="1" s="160">
      <c r="A7" s="4" t="n"/>
      <c r="B7" s="32" t="n"/>
      <c r="C7" s="32" t="n"/>
      <c r="D7" s="32" t="n"/>
      <c r="E7" s="32" t="n"/>
      <c r="F7" s="32" t="n"/>
      <c r="G7" s="32" t="n"/>
      <c r="H7" s="38" t="n"/>
      <c r="L7" s="22" t="n"/>
      <c r="M7" s="23" t="n"/>
      <c r="N7" s="109" t="n"/>
      <c r="O7" s="23" t="n"/>
      <c r="P7" s="23" t="n"/>
      <c r="Q7" s="23" t="n"/>
      <c r="R7" s="28" t="n"/>
    </row>
    <row r="8" ht="16.5" customHeight="1" s="160">
      <c r="A8" s="16" t="n"/>
      <c r="B8" s="17" t="n"/>
      <c r="C8" s="17" t="n"/>
      <c r="D8" s="17" t="n"/>
      <c r="E8" s="17" t="n"/>
      <c r="F8" s="17" t="n"/>
      <c r="G8" s="17" t="n"/>
      <c r="H8" s="21" t="n"/>
      <c r="L8" s="22" t="n"/>
      <c r="M8" s="23" t="n"/>
      <c r="N8" s="109" t="n"/>
      <c r="O8" s="23" t="n"/>
      <c r="P8" s="23" t="n"/>
      <c r="Q8" s="23" t="n"/>
      <c r="R8" s="28" t="n"/>
    </row>
    <row r="9" ht="16.5" customHeight="1" s="160">
      <c r="A9" s="16" t="n"/>
      <c r="B9" s="17" t="n"/>
      <c r="C9" s="17" t="n"/>
      <c r="D9" s="17" t="n"/>
      <c r="E9" s="17" t="n"/>
      <c r="F9" s="17" t="n"/>
      <c r="G9" s="17" t="n"/>
      <c r="H9" s="21" t="n"/>
      <c r="L9" s="22" t="n"/>
      <c r="M9" s="23" t="n"/>
      <c r="N9" s="109" t="n"/>
      <c r="O9" s="23" t="n"/>
      <c r="P9" s="23" t="n"/>
      <c r="Q9" s="23" t="n"/>
      <c r="R9" s="28" t="n"/>
    </row>
    <row r="10" ht="16.5" customHeight="1" s="160">
      <c r="A10" s="16" t="n"/>
      <c r="B10" s="17" t="n"/>
      <c r="C10" s="17" t="n"/>
      <c r="D10" s="17" t="n"/>
      <c r="E10" s="17" t="n"/>
      <c r="F10" s="17" t="n"/>
      <c r="G10" s="17" t="n"/>
      <c r="H10" s="21" t="n"/>
      <c r="L10" s="22" t="n"/>
      <c r="M10" s="23" t="n"/>
      <c r="N10" s="109" t="n"/>
      <c r="O10" s="23" t="n"/>
      <c r="P10" s="23" t="n"/>
      <c r="Q10" s="23" t="n"/>
      <c r="R10" s="28" t="n"/>
    </row>
    <row r="11" ht="16.5" customHeight="1" s="160">
      <c r="A11" s="16" t="n"/>
      <c r="B11" s="17" t="n"/>
      <c r="C11" s="17" t="n"/>
      <c r="D11" s="17" t="n"/>
      <c r="E11" s="17" t="n"/>
      <c r="F11" s="17" t="n"/>
      <c r="G11" s="17" t="n"/>
      <c r="H11" s="21" t="n"/>
      <c r="L11" s="22" t="n"/>
      <c r="M11" s="23" t="n"/>
      <c r="N11" s="109" t="n"/>
      <c r="O11" s="23" t="n"/>
      <c r="P11" s="23" t="n"/>
      <c r="Q11" s="23" t="n"/>
      <c r="R11" s="28" t="n"/>
    </row>
    <row r="12" ht="16.5" customHeight="1" s="160">
      <c r="A12" s="16" t="n"/>
      <c r="B12" s="17" t="n"/>
      <c r="C12" s="17" t="n"/>
      <c r="D12" s="17" t="n"/>
      <c r="E12" s="17" t="n"/>
      <c r="F12" s="17" t="n"/>
      <c r="G12" s="17" t="n"/>
      <c r="H12" s="21" t="n"/>
      <c r="L12" s="22" t="n"/>
      <c r="M12" s="51" t="n"/>
      <c r="N12" s="110" t="n"/>
      <c r="O12" s="51" t="n"/>
      <c r="P12" s="51" t="n"/>
      <c r="Q12" s="51" t="n"/>
      <c r="R12" s="52" t="n"/>
    </row>
    <row r="13" ht="16.5" customHeight="1" s="160">
      <c r="A13" s="16" t="n"/>
      <c r="B13" s="53" t="n"/>
      <c r="C13" s="54" t="n"/>
      <c r="D13" s="54" t="n"/>
      <c r="E13" s="54" t="n"/>
      <c r="F13" s="54" t="n"/>
      <c r="G13" s="54" t="n"/>
      <c r="H13" s="55" t="n"/>
      <c r="L13" s="22" t="n"/>
      <c r="M13" s="51" t="n"/>
      <c r="N13" s="110" t="n"/>
      <c r="O13" s="51" t="n"/>
      <c r="P13" s="51" t="n"/>
      <c r="Q13" s="51" t="n"/>
      <c r="R13" s="52" t="n"/>
    </row>
    <row r="14" ht="16.5" customHeight="1" s="160">
      <c r="A14" s="16" t="n"/>
      <c r="B14" s="53" t="n"/>
      <c r="C14" s="54" t="n"/>
      <c r="D14" s="54" t="n"/>
      <c r="E14" s="54" t="n"/>
      <c r="F14" s="54" t="n"/>
      <c r="G14" s="54" t="n"/>
      <c r="H14" s="55" t="n"/>
      <c r="L14" s="57" t="n"/>
      <c r="M14" s="58" t="n"/>
      <c r="N14" s="111" t="n"/>
      <c r="O14" s="58" t="n"/>
      <c r="P14" s="58" t="n"/>
      <c r="Q14" s="58" t="n"/>
      <c r="R14" s="59" t="n"/>
    </row>
    <row r="15">
      <c r="A15" s="60" t="n"/>
      <c r="B15" s="61" t="n"/>
      <c r="C15" s="61" t="n"/>
      <c r="D15" s="61" t="n"/>
      <c r="E15" s="61" t="n"/>
      <c r="F15" s="61" t="n"/>
      <c r="G15" s="61" t="n"/>
      <c r="H15" s="62" t="n"/>
    </row>
    <row r="16"/>
    <row r="17">
      <c r="A17" s="215" t="n"/>
      <c r="B17" s="216" t="n"/>
      <c r="C17" s="217" t="n"/>
      <c r="D17" s="217" t="n"/>
      <c r="E17" s="217" t="n"/>
      <c r="F17" s="217" t="n"/>
      <c r="G17" s="217" t="n"/>
      <c r="H17" s="218" t="n"/>
      <c r="L17" s="182" t="n"/>
      <c r="M17" s="184" t="n"/>
      <c r="N17" s="217" t="n"/>
      <c r="O17" s="217" t="n"/>
      <c r="P17" s="217" t="n"/>
      <c r="Q17" s="217" t="n"/>
      <c r="R17" s="217" t="n"/>
    </row>
    <row r="18">
      <c r="A18" s="219" t="n"/>
      <c r="B18" s="1" t="n"/>
      <c r="C18" s="1" t="n"/>
      <c r="D18" s="1" t="n"/>
      <c r="E18" s="1" t="n"/>
      <c r="F18" s="1" t="n"/>
      <c r="G18" s="1" t="n"/>
      <c r="H18" s="2" t="n"/>
      <c r="L18" s="220" t="n"/>
      <c r="M18" s="11" t="n"/>
      <c r="N18" s="11" t="n"/>
      <c r="O18" s="11" t="n"/>
      <c r="P18" s="11" t="n"/>
      <c r="Q18" s="11" t="n"/>
      <c r="R18" s="15" t="n"/>
    </row>
    <row r="19" ht="16.5" customHeight="1" s="160">
      <c r="A19" s="4" t="n"/>
      <c r="B19" s="5" t="n"/>
      <c r="C19" s="5" t="n"/>
      <c r="D19" s="5" t="n"/>
      <c r="E19" s="5" t="n"/>
      <c r="F19" s="5" t="n"/>
      <c r="G19" s="5" t="n"/>
      <c r="H19" s="7" t="n"/>
      <c r="L19" s="22" t="n"/>
      <c r="M19" s="23" t="n"/>
      <c r="N19" s="23" t="n"/>
      <c r="O19" s="23" t="n"/>
      <c r="P19" s="23" t="n"/>
      <c r="Q19" s="23" t="n"/>
      <c r="R19" s="28" t="n"/>
    </row>
    <row r="20" ht="16.5" customHeight="1" s="160">
      <c r="A20" s="16" t="n"/>
      <c r="B20" s="17" t="n"/>
      <c r="C20" s="17" t="n"/>
      <c r="D20" s="17" t="n"/>
      <c r="E20" s="17" t="n"/>
      <c r="F20" s="17" t="n"/>
      <c r="G20" s="17" t="n"/>
      <c r="H20" s="21" t="n"/>
      <c r="L20" s="22" t="n"/>
      <c r="M20" s="23" t="n"/>
      <c r="N20" s="23" t="n"/>
      <c r="O20" s="23" t="n"/>
      <c r="P20" s="23" t="n"/>
      <c r="Q20" s="23" t="n"/>
      <c r="R20" s="28" t="n"/>
    </row>
    <row r="21" ht="15.75" customHeight="1" s="160">
      <c r="A21" s="16" t="n"/>
      <c r="B21" s="17" t="n"/>
      <c r="C21" s="17" t="n"/>
      <c r="D21" s="17" t="n"/>
      <c r="E21" s="17" t="n"/>
      <c r="F21" s="17" t="n"/>
      <c r="G21" s="17" t="n"/>
      <c r="H21" s="21" t="n"/>
      <c r="L21" s="22" t="n"/>
      <c r="M21" s="23" t="n"/>
      <c r="N21" s="23" t="n"/>
      <c r="O21" s="23" t="n"/>
      <c r="P21" s="23" t="n"/>
      <c r="Q21" s="23" t="n"/>
      <c r="R21" s="28" t="n"/>
    </row>
    <row r="22" ht="15.75" customHeight="1" s="160">
      <c r="A22" s="4" t="n"/>
      <c r="B22" s="32" t="n"/>
      <c r="C22" s="32" t="n"/>
      <c r="D22" s="32" t="n"/>
      <c r="E22" s="32" t="n"/>
      <c r="F22" s="32" t="n"/>
      <c r="G22" s="32" t="n"/>
      <c r="H22" s="38" t="n"/>
      <c r="L22" s="22" t="n"/>
      <c r="M22" s="23" t="n"/>
      <c r="N22" s="23" t="n"/>
      <c r="O22" s="23" t="n"/>
      <c r="P22" s="23" t="n"/>
      <c r="Q22" s="23" t="n"/>
      <c r="R22" s="28" t="n"/>
    </row>
    <row r="23" ht="15.75" customHeight="1" s="160">
      <c r="A23" s="16" t="n"/>
      <c r="B23" s="17" t="n"/>
      <c r="C23" s="17" t="n"/>
      <c r="D23" s="17" t="n"/>
      <c r="E23" s="17" t="n"/>
      <c r="F23" s="17" t="n"/>
      <c r="G23" s="17" t="n"/>
      <c r="H23" s="21" t="n"/>
      <c r="L23" s="22" t="n"/>
      <c r="M23" s="23" t="n"/>
      <c r="N23" s="23" t="n"/>
      <c r="O23" s="23" t="n"/>
      <c r="P23" s="23" t="n"/>
      <c r="Q23" s="23" t="n"/>
      <c r="R23" s="28" t="n"/>
    </row>
    <row r="24" ht="15.75" customHeight="1" s="160">
      <c r="A24" s="16" t="n"/>
      <c r="B24" s="17" t="n"/>
      <c r="C24" s="17" t="n"/>
      <c r="D24" s="17" t="n"/>
      <c r="E24" s="17" t="n"/>
      <c r="F24" s="17" t="n"/>
      <c r="G24" s="17" t="n"/>
      <c r="H24" s="21" t="n"/>
      <c r="L24" s="22" t="n"/>
      <c r="M24" s="23" t="n"/>
      <c r="N24" s="23" t="n"/>
      <c r="O24" s="23" t="n"/>
      <c r="P24" s="23" t="n"/>
      <c r="Q24" s="23" t="n"/>
      <c r="R24" s="28" t="n"/>
    </row>
    <row r="25" ht="15.75" customHeight="1" s="160">
      <c r="A25" s="16" t="n"/>
      <c r="B25" s="17" t="n"/>
      <c r="C25" s="17" t="n"/>
      <c r="D25" s="17" t="n"/>
      <c r="E25" s="17" t="n"/>
      <c r="F25" s="17" t="n"/>
      <c r="G25" s="17" t="n"/>
      <c r="H25" s="21" t="n"/>
      <c r="L25" s="22" t="n"/>
      <c r="M25" s="23" t="n"/>
      <c r="N25" s="23" t="n"/>
      <c r="O25" s="23" t="n"/>
      <c r="P25" s="23" t="n"/>
      <c r="Q25" s="23" t="n"/>
      <c r="R25" s="28" t="n"/>
    </row>
    <row r="26" ht="15.75" customHeight="1" s="160">
      <c r="A26" s="16" t="n"/>
      <c r="B26" s="17" t="n"/>
      <c r="C26" s="17" t="n"/>
      <c r="D26" s="17" t="n"/>
      <c r="E26" s="17" t="n"/>
      <c r="F26" s="17" t="n"/>
      <c r="G26" s="17" t="n"/>
      <c r="H26" s="21" t="n"/>
      <c r="L26" s="22" t="n"/>
      <c r="M26" s="51" t="n"/>
      <c r="N26" s="51" t="n"/>
      <c r="O26" s="51" t="n"/>
      <c r="P26" s="51" t="n"/>
      <c r="Q26" s="51" t="n"/>
      <c r="R26" s="52" t="n"/>
    </row>
    <row r="27" ht="15.75" customHeight="1" s="160">
      <c r="A27" s="16" t="n"/>
      <c r="B27" s="17" t="n"/>
      <c r="C27" s="17" t="n"/>
      <c r="D27" s="17" t="n"/>
      <c r="E27" s="17" t="n"/>
      <c r="F27" s="17" t="n"/>
      <c r="G27" s="17" t="n"/>
      <c r="H27" s="21" t="n"/>
      <c r="L27" s="22" t="n"/>
      <c r="M27" s="51" t="n"/>
      <c r="N27" s="51" t="n"/>
      <c r="O27" s="51" t="n"/>
      <c r="P27" s="51" t="n"/>
      <c r="Q27" s="51" t="n"/>
      <c r="R27" s="52" t="n"/>
    </row>
    <row r="28" ht="15.75" customHeight="1" s="160">
      <c r="A28" s="16" t="n"/>
      <c r="B28" s="97" t="n"/>
      <c r="C28" s="54" t="n"/>
      <c r="D28" s="54" t="n"/>
      <c r="E28" s="54" t="n"/>
      <c r="F28" s="54" t="n"/>
      <c r="G28" s="54" t="n"/>
      <c r="H28" s="55" t="n"/>
      <c r="L28" s="57" t="n"/>
      <c r="M28" s="58" t="n"/>
      <c r="N28" s="58" t="n"/>
      <c r="O28" s="58" t="n"/>
      <c r="P28" s="58" t="n"/>
      <c r="Q28" s="58" t="n"/>
      <c r="R28" s="59" t="n"/>
    </row>
    <row r="29" ht="15.75" customHeight="1" s="160">
      <c r="A29" s="16" t="n"/>
      <c r="B29" s="97" t="n"/>
      <c r="C29" s="54" t="n"/>
      <c r="D29" s="54" t="n"/>
      <c r="E29" s="54" t="n"/>
      <c r="F29" s="54" t="n"/>
      <c r="G29" s="54" t="n"/>
      <c r="H29" s="55" t="n"/>
    </row>
    <row r="30" ht="15.75" customHeight="1" s="160">
      <c r="A30" s="60" t="n"/>
      <c r="B30" s="61" t="n"/>
      <c r="C30" s="61" t="n"/>
      <c r="D30" s="61" t="n"/>
      <c r="E30" s="61" t="n"/>
      <c r="F30" s="61" t="n"/>
      <c r="G30" s="61" t="n"/>
      <c r="H30" s="62" t="n"/>
    </row>
    <row r="31" ht="15.75" customHeight="1" s="160"/>
    <row r="32" ht="15.75" customHeight="1" s="160">
      <c r="A32" s="221" t="n"/>
      <c r="B32" s="222" t="n"/>
      <c r="C32" s="223" t="n"/>
      <c r="D32" s="223" t="n"/>
      <c r="E32" s="223" t="n"/>
      <c r="F32" s="223" t="n"/>
      <c r="G32" s="223" t="n"/>
      <c r="H32" s="224" t="n"/>
    </row>
    <row r="33" ht="15.75" customHeight="1" s="160">
      <c r="A33" s="225" t="n"/>
      <c r="B33" s="98" t="n"/>
      <c r="C33" s="98" t="n"/>
      <c r="D33" s="98" t="n"/>
      <c r="E33" s="98" t="n"/>
      <c r="F33" s="98" t="n"/>
      <c r="G33" s="98" t="n"/>
      <c r="H33" s="99" t="n"/>
    </row>
    <row r="34" ht="15.75" customHeight="1" s="160">
      <c r="A34" s="42" t="n"/>
      <c r="B34" s="46" t="n"/>
      <c r="C34" s="46" t="n"/>
      <c r="D34" s="46" t="n"/>
      <c r="E34" s="46" t="n"/>
      <c r="F34" s="46" t="n"/>
      <c r="G34" s="46" t="n"/>
      <c r="H34" s="47" t="n"/>
    </row>
    <row r="35" ht="15.75" customHeight="1" s="160">
      <c r="A35" s="42" t="n"/>
      <c r="B35" s="46" t="n"/>
      <c r="C35" s="46" t="n"/>
      <c r="D35" s="46" t="n"/>
      <c r="E35" s="46" t="n"/>
      <c r="F35" s="46" t="n"/>
      <c r="G35" s="46" t="n"/>
      <c r="H35" s="47" t="n"/>
    </row>
    <row r="36" ht="15.75" customHeight="1" s="160">
      <c r="A36" s="42" t="n"/>
      <c r="B36" s="46" t="n"/>
      <c r="C36" s="46" t="n"/>
      <c r="D36" s="46" t="n"/>
      <c r="E36" s="46" t="n"/>
      <c r="F36" s="46" t="n"/>
      <c r="G36" s="46" t="n"/>
      <c r="H36" s="47" t="n"/>
    </row>
    <row r="37" ht="15.75" customHeight="1" s="160">
      <c r="A37" s="42" t="n"/>
      <c r="B37" s="46" t="n"/>
      <c r="C37" s="46" t="n"/>
      <c r="D37" s="46" t="n"/>
      <c r="E37" s="46" t="n"/>
      <c r="F37" s="46" t="n"/>
      <c r="G37" s="46" t="n"/>
      <c r="H37" s="47" t="n"/>
    </row>
    <row r="38" ht="15.75" customHeight="1" s="160">
      <c r="A38" s="42" t="n"/>
      <c r="B38" s="46" t="n"/>
      <c r="C38" s="46" t="n"/>
      <c r="D38" s="46" t="n"/>
      <c r="E38" s="46" t="n"/>
      <c r="F38" s="46" t="n"/>
      <c r="G38" s="46" t="n"/>
      <c r="H38" s="47" t="n"/>
    </row>
    <row r="39" ht="15.75" customHeight="1" s="160">
      <c r="A39" s="42" t="n"/>
      <c r="B39" s="46" t="n"/>
      <c r="C39" s="46" t="n"/>
      <c r="D39" s="46" t="n"/>
      <c r="E39" s="46" t="n"/>
      <c r="F39" s="46" t="n"/>
      <c r="G39" s="46" t="n"/>
      <c r="H39" s="47" t="n"/>
    </row>
    <row r="40" ht="15.75" customHeight="1" s="160">
      <c r="A40" s="42" t="n"/>
      <c r="B40" s="46" t="n"/>
      <c r="C40" s="46" t="n"/>
      <c r="D40" s="46" t="n"/>
      <c r="E40" s="46" t="n"/>
      <c r="F40" s="46" t="n"/>
      <c r="G40" s="46" t="n"/>
      <c r="H40" s="47" t="n"/>
    </row>
    <row r="41" ht="15.75" customHeight="1" s="160">
      <c r="A41" s="42" t="n"/>
      <c r="B41" s="46" t="n"/>
      <c r="C41" s="46" t="n"/>
      <c r="D41" s="46" t="n"/>
      <c r="E41" s="46" t="n"/>
      <c r="F41" s="46" t="n"/>
      <c r="G41" s="46" t="n"/>
      <c r="H41" s="47" t="n"/>
    </row>
    <row r="42" ht="15.75" customHeight="1" s="160">
      <c r="A42" s="42" t="n"/>
      <c r="B42" s="46" t="n"/>
      <c r="C42" s="46" t="n"/>
      <c r="D42" s="46" t="n"/>
      <c r="E42" s="46" t="n"/>
      <c r="F42" s="46" t="n"/>
      <c r="G42" s="46" t="n"/>
      <c r="H42" s="47" t="n"/>
    </row>
    <row r="43" ht="15.75" customHeight="1" s="160">
      <c r="A43" s="63" t="n"/>
      <c r="B43" s="74" t="n"/>
      <c r="C43" s="74" t="n"/>
      <c r="D43" s="74" t="n"/>
      <c r="E43" s="74" t="n"/>
      <c r="F43" s="74" t="n"/>
      <c r="G43" s="74" t="n"/>
      <c r="H43" s="75" t="n"/>
    </row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0">
    <mergeCell ref="A32:A33"/>
    <mergeCell ref="B32:H32"/>
    <mergeCell ref="B17:H17"/>
    <mergeCell ref="A17:A18"/>
    <mergeCell ref="L3:L4"/>
    <mergeCell ref="L17:L18"/>
    <mergeCell ref="B2:H2"/>
    <mergeCell ref="M3:R3"/>
    <mergeCell ref="A2:A3"/>
    <mergeCell ref="M17:R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56"/>
  <sheetViews>
    <sheetView tabSelected="1" topLeftCell="R22" zoomScale="97" workbookViewId="0">
      <selection activeCell="O19" sqref="O19"/>
    </sheetView>
  </sheetViews>
  <sheetFormatPr baseColWidth="8" defaultColWidth="12.64453125" defaultRowHeight="15" customHeight="1"/>
  <cols>
    <col width="12.10546875" customWidth="1" style="160" min="1" max="1"/>
    <col width="20.71484375" customWidth="1" style="160" min="2" max="2"/>
    <col width="13.31640625" customWidth="1" style="160" min="3" max="3"/>
    <col width="17.3515625" customWidth="1" style="160" min="4" max="4"/>
    <col width="21.7890625" customWidth="1" style="160" min="5" max="5"/>
    <col width="13.71875" customWidth="1" style="160" min="7" max="7"/>
    <col width="23.9453125" customWidth="1" style="160" min="8" max="8"/>
    <col width="16.94921875" customWidth="1" style="160" min="9" max="9"/>
    <col width="9.81640625" customWidth="1" style="160" min="10" max="10"/>
    <col width="10.76171875" customWidth="1" style="160" min="11" max="11"/>
    <col width="13.046875" customWidth="1" style="160" min="12" max="12"/>
    <col width="14.390625" customWidth="1" style="160" min="13" max="13"/>
    <col width="14.2578125" customWidth="1" style="160" min="14" max="14"/>
    <col width="11.8359375" customWidth="1" style="160" min="15" max="15"/>
    <col width="8.609375" customWidth="1" style="160" min="16" max="16"/>
    <col width="16.94921875" customWidth="1" style="160" min="17" max="17"/>
    <col width="8.609375" customWidth="1" style="160" min="18" max="18"/>
    <col width="11.8359375" customWidth="1" style="160" min="19" max="19"/>
    <col width="8.609375" customWidth="1" style="160" min="20" max="26"/>
  </cols>
  <sheetData>
    <row r="2">
      <c r="A2" s="6" t="inlineStr">
        <is>
          <t>Date</t>
        </is>
      </c>
      <c r="B2" s="6" t="inlineStr">
        <is>
          <t xml:space="preserve"> Morning Feeders</t>
        </is>
      </c>
      <c r="C2" s="6" t="inlineStr">
        <is>
          <t>Feed Out</t>
        </is>
      </c>
      <c r="D2" s="6" t="inlineStr">
        <is>
          <t>Feed In</t>
        </is>
      </c>
      <c r="E2" s="6" t="inlineStr">
        <is>
          <t>Afternoon Feeders</t>
        </is>
      </c>
      <c r="F2" s="6" t="inlineStr">
        <is>
          <t xml:space="preserve">Feed out </t>
        </is>
      </c>
      <c r="G2" s="6" t="inlineStr">
        <is>
          <t>Feed In2</t>
        </is>
      </c>
      <c r="H2" s="13" t="inlineStr">
        <is>
          <t xml:space="preserve">Notes </t>
        </is>
      </c>
      <c r="M2" s="226" t="inlineStr">
        <is>
          <t xml:space="preserve">Adaptation schedule- TMR g/animal/day  </t>
        </is>
      </c>
      <c r="N2" s="227" t="n"/>
      <c r="O2" s="228" t="n"/>
      <c r="Q2" s="18" t="inlineStr">
        <is>
          <t>Mixing order</t>
        </is>
      </c>
      <c r="S2" s="121" t="inlineStr">
        <is>
          <t>Date</t>
        </is>
      </c>
      <c r="T2" s="229" t="inlineStr">
        <is>
          <t>Morning</t>
        </is>
      </c>
      <c r="U2" s="230" t="n"/>
      <c r="V2" s="231" t="inlineStr">
        <is>
          <t>Afternoon</t>
        </is>
      </c>
      <c r="W2" s="230" t="n"/>
      <c r="X2" s="194" t="inlineStr">
        <is>
          <t>Total feed in/day</t>
        </is>
      </c>
      <c r="Y2" s="194" t="inlineStr">
        <is>
          <t>Total feed out/day</t>
        </is>
      </c>
      <c r="Z2" s="196" t="inlineStr">
        <is>
          <t>Total feed left</t>
        </is>
      </c>
      <c r="AA2" s="230" t="n"/>
    </row>
    <row r="3">
      <c r="A3" s="19" t="n">
        <v>46230</v>
      </c>
      <c r="B3" s="113" t="n"/>
      <c r="C3" s="113" t="n"/>
      <c r="D3" s="113" t="n"/>
      <c r="E3" s="113" t="inlineStr">
        <is>
          <t>Everyone</t>
        </is>
      </c>
      <c r="F3" s="113" t="inlineStr">
        <is>
          <t xml:space="preserve">0 kg </t>
        </is>
      </c>
      <c r="G3" s="113" t="inlineStr">
        <is>
          <t>2kg</t>
        </is>
      </c>
      <c r="I3" s="24" t="inlineStr">
        <is>
          <t xml:space="preserve">Raw material </t>
        </is>
      </c>
      <c r="J3" s="25" t="inlineStr">
        <is>
          <t>%</t>
        </is>
      </c>
      <c r="K3" s="27" t="inlineStr">
        <is>
          <t xml:space="preserve">kg </t>
        </is>
      </c>
      <c r="M3" s="30" t="n"/>
      <c r="N3" s="25" t="inlineStr">
        <is>
          <t xml:space="preserve">Morning </t>
        </is>
      </c>
      <c r="O3" s="27" t="inlineStr">
        <is>
          <t xml:space="preserve">Evening </t>
        </is>
      </c>
      <c r="Q3" s="31" t="inlineStr">
        <is>
          <t>All rhoughage (Teff)</t>
        </is>
      </c>
      <c r="S3" s="232" t="n"/>
      <c r="T3" s="119" t="inlineStr">
        <is>
          <t>Feed out</t>
        </is>
      </c>
      <c r="U3" s="119" t="inlineStr">
        <is>
          <t>Feed in</t>
        </is>
      </c>
      <c r="V3" s="120" t="inlineStr">
        <is>
          <t>Feed out</t>
        </is>
      </c>
      <c r="W3" s="120" t="inlineStr">
        <is>
          <t>Feed in</t>
        </is>
      </c>
      <c r="X3" s="232" t="n"/>
      <c r="Y3" s="232" t="n"/>
      <c r="Z3" s="121" t="inlineStr">
        <is>
          <t>mixed</t>
        </is>
      </c>
      <c r="AA3" s="121" t="inlineStr">
        <is>
          <t>left</t>
        </is>
      </c>
    </row>
    <row r="4">
      <c r="A4" s="19" t="n"/>
      <c r="B4" s="113" t="n"/>
      <c r="C4" s="113" t="n"/>
      <c r="D4" s="113" t="n"/>
      <c r="E4" s="113" t="n"/>
      <c r="F4" s="113" t="n"/>
      <c r="G4" s="113" t="n"/>
      <c r="I4" s="33" t="n"/>
      <c r="J4" s="34" t="n"/>
      <c r="K4" s="35" t="n"/>
      <c r="M4" s="36" t="n"/>
      <c r="N4" s="37" t="n"/>
      <c r="O4" s="39" t="n"/>
      <c r="Q4" s="31" t="n"/>
      <c r="S4" s="122" t="n"/>
      <c r="T4" s="123" t="n"/>
      <c r="U4" s="124" t="n"/>
      <c r="V4" s="125" t="n"/>
      <c r="W4" s="126" t="n"/>
      <c r="X4" s="127">
        <f>SUM(U4,W4)</f>
        <v/>
      </c>
      <c r="Y4" s="127">
        <f>SUM(T4,V4)</f>
        <v/>
      </c>
      <c r="Z4" s="128" t="n"/>
      <c r="AA4" s="127">
        <f>Z4-X4</f>
        <v/>
      </c>
    </row>
    <row r="5">
      <c r="A5" s="19" t="n"/>
      <c r="B5" s="113" t="n"/>
      <c r="C5" s="113" t="n"/>
      <c r="D5" s="113" t="n"/>
      <c r="E5" s="113" t="n"/>
      <c r="F5" s="113" t="n"/>
      <c r="G5" s="113" t="n"/>
      <c r="I5" s="42" t="n"/>
      <c r="J5" s="43" t="n"/>
      <c r="K5" s="44" t="n"/>
      <c r="M5" s="45" t="n"/>
      <c r="N5" s="46" t="n"/>
      <c r="O5" s="47" t="n"/>
      <c r="Q5" s="31" t="n"/>
      <c r="S5" s="122" t="n"/>
      <c r="T5" s="129" t="n"/>
      <c r="U5" s="130" t="n"/>
      <c r="V5" s="131" t="n"/>
      <c r="W5" s="132" t="n"/>
      <c r="X5" s="127">
        <f>SUM(U5,W5)</f>
        <v/>
      </c>
      <c r="Y5" s="127">
        <f>SUM(T5,V5)</f>
        <v/>
      </c>
      <c r="Z5" s="127">
        <f>AA4</f>
        <v/>
      </c>
      <c r="AA5" s="127">
        <f>Z5-X5</f>
        <v/>
      </c>
    </row>
    <row r="6">
      <c r="A6" s="19" t="n"/>
      <c r="B6" s="113" t="n"/>
      <c r="C6" s="113" t="n"/>
      <c r="D6" s="113" t="n"/>
      <c r="E6" s="113" t="n"/>
      <c r="F6" s="113" t="n"/>
      <c r="G6" s="113" t="n"/>
      <c r="I6" s="42" t="n"/>
      <c r="J6" s="43" t="n"/>
      <c r="K6" s="44" t="n"/>
      <c r="M6" s="45" t="n"/>
      <c r="N6" s="46" t="n"/>
      <c r="O6" s="47" t="n"/>
      <c r="Q6" s="31" t="n"/>
      <c r="S6" s="122" t="n"/>
      <c r="T6" s="129" t="n"/>
      <c r="U6" s="130" t="n"/>
      <c r="V6" s="131" t="n"/>
      <c r="W6" s="132" t="n"/>
      <c r="X6" s="127">
        <f>SUM(U6,W6)</f>
        <v/>
      </c>
      <c r="Y6" s="127">
        <f>SUM(T6,V6)</f>
        <v/>
      </c>
      <c r="Z6" s="127">
        <f>AA5</f>
        <v/>
      </c>
      <c r="AA6" s="127">
        <f>Z6-X6</f>
        <v/>
      </c>
    </row>
    <row r="7">
      <c r="A7" s="19" t="n"/>
      <c r="B7" s="113" t="n"/>
      <c r="C7" s="113" t="n"/>
      <c r="D7" s="113" t="n"/>
      <c r="E7" s="113" t="n"/>
      <c r="F7" s="113" t="n"/>
      <c r="G7" s="113" t="n"/>
      <c r="I7" s="42" t="n"/>
      <c r="J7" s="43" t="n"/>
      <c r="K7" s="44" t="n"/>
      <c r="M7" s="45" t="n"/>
      <c r="N7" s="46" t="n"/>
      <c r="O7" s="47" t="n"/>
      <c r="S7" s="122" t="n"/>
      <c r="T7" s="129" t="n"/>
      <c r="U7" s="130" t="n"/>
      <c r="V7" s="131" t="n"/>
      <c r="W7" s="132" t="n"/>
      <c r="X7" s="127">
        <f>SUM(U7,W7)</f>
        <v/>
      </c>
      <c r="Y7" s="127">
        <f>SUM(T7,V7)</f>
        <v/>
      </c>
      <c r="Z7" s="127">
        <f>AA6</f>
        <v/>
      </c>
      <c r="AA7" s="127">
        <f>Z7-X7</f>
        <v/>
      </c>
    </row>
    <row r="8">
      <c r="A8" s="19" t="n"/>
      <c r="B8" s="113" t="n"/>
      <c r="C8" s="113" t="n"/>
      <c r="D8" s="113" t="n"/>
      <c r="E8" s="113" t="n"/>
      <c r="F8" s="113" t="n"/>
      <c r="G8" s="113" t="n"/>
      <c r="I8" s="42" t="n"/>
      <c r="J8" s="43" t="n"/>
      <c r="K8" s="44" t="n"/>
      <c r="M8" s="45" t="n"/>
      <c r="N8" s="46" t="n"/>
      <c r="O8" s="47" t="n"/>
      <c r="S8" s="122" t="n"/>
      <c r="T8" s="129" t="n"/>
      <c r="U8" s="130" t="n"/>
      <c r="V8" s="131" t="n"/>
      <c r="W8" s="132" t="n"/>
      <c r="X8" s="127">
        <f>SUM(U8,W8)</f>
        <v/>
      </c>
      <c r="Y8" s="127">
        <f>SUM(T8,V8)</f>
        <v/>
      </c>
      <c r="Z8" s="127">
        <f>AA7</f>
        <v/>
      </c>
      <c r="AA8" s="127">
        <f>Z8-X8</f>
        <v/>
      </c>
    </row>
    <row r="9">
      <c r="A9" s="19" t="n"/>
      <c r="B9" s="113" t="n"/>
      <c r="C9" s="113" t="n"/>
      <c r="D9" s="113" t="n"/>
      <c r="E9" s="113" t="n"/>
      <c r="F9" s="113" t="n"/>
      <c r="G9" s="113" t="n"/>
      <c r="I9" s="42" t="n"/>
      <c r="J9" s="43" t="n"/>
      <c r="K9" s="44" t="n"/>
      <c r="M9" s="45" t="n"/>
      <c r="N9" s="46" t="n"/>
      <c r="O9" s="47" t="n"/>
      <c r="S9" s="122" t="n"/>
      <c r="T9" s="129" t="n"/>
      <c r="U9" s="130" t="n"/>
      <c r="V9" s="131" t="n"/>
      <c r="W9" s="132" t="n"/>
      <c r="X9" s="127">
        <f>SUM(U9,W9)</f>
        <v/>
      </c>
      <c r="Y9" s="127">
        <f>SUM(T9,V9)</f>
        <v/>
      </c>
      <c r="Z9" s="127">
        <f>AA8</f>
        <v/>
      </c>
      <c r="AA9" s="127">
        <f>Z9-X9</f>
        <v/>
      </c>
    </row>
    <row r="10">
      <c r="A10" s="19" t="n"/>
      <c r="B10" s="113" t="n"/>
      <c r="C10" s="113" t="n"/>
      <c r="D10" s="113" t="n"/>
      <c r="E10" s="113" t="n"/>
      <c r="F10" s="113" t="n"/>
      <c r="G10" s="113" t="n"/>
      <c r="I10" s="42" t="n"/>
      <c r="J10" s="43" t="n"/>
      <c r="K10" s="44" t="n"/>
      <c r="M10" s="45" t="n"/>
      <c r="N10" s="46" t="n"/>
      <c r="O10" s="47" t="n"/>
      <c r="S10" s="122" t="n"/>
      <c r="T10" s="129" t="n"/>
      <c r="U10" s="130" t="n"/>
      <c r="V10" s="131" t="n"/>
      <c r="W10" s="132" t="n"/>
      <c r="X10" s="127">
        <f>SUM(U10,W10)</f>
        <v/>
      </c>
      <c r="Y10" s="127">
        <f>SUM(T10,V10)</f>
        <v/>
      </c>
      <c r="Z10" s="127">
        <f>AA9</f>
        <v/>
      </c>
      <c r="AA10" s="127">
        <f>Z10-X10</f>
        <v/>
      </c>
    </row>
    <row r="11">
      <c r="A11" s="19" t="n"/>
      <c r="B11" s="113" t="n"/>
      <c r="C11" s="113" t="n"/>
      <c r="D11" s="113" t="n"/>
      <c r="E11" s="113" t="n"/>
      <c r="F11" s="113" t="n"/>
      <c r="G11" s="113" t="n"/>
      <c r="I11" s="42" t="n"/>
      <c r="J11" s="43" t="n"/>
      <c r="K11" s="44" t="n"/>
      <c r="M11" s="45" t="n"/>
      <c r="N11" s="46" t="n"/>
      <c r="O11" s="47" t="n"/>
      <c r="S11" s="122" t="n"/>
      <c r="T11" s="129" t="n"/>
      <c r="U11" s="130" t="n"/>
      <c r="V11" s="131" t="n"/>
      <c r="W11" s="132" t="n"/>
      <c r="X11" s="127">
        <f>SUM(U11,W11)</f>
        <v/>
      </c>
      <c r="Y11" s="127">
        <f>SUM(T11,V11)</f>
        <v/>
      </c>
      <c r="Z11" s="127">
        <f>AA10</f>
        <v/>
      </c>
      <c r="AA11" s="127">
        <f>Z11-X11</f>
        <v/>
      </c>
    </row>
    <row r="12">
      <c r="A12" s="19" t="n"/>
      <c r="B12" s="113" t="n"/>
      <c r="C12" s="113" t="n"/>
      <c r="D12" s="113" t="n"/>
      <c r="E12" s="113" t="n"/>
      <c r="F12" s="113" t="n"/>
      <c r="G12" s="113" t="n"/>
      <c r="I12" s="63" t="n"/>
      <c r="J12" s="64" t="n"/>
      <c r="K12" s="66" t="n"/>
      <c r="M12" s="45" t="n"/>
      <c r="N12" s="46" t="n"/>
      <c r="O12" s="47" t="n"/>
      <c r="S12" s="122" t="n"/>
      <c r="T12" s="129" t="n"/>
      <c r="U12" s="130" t="n"/>
      <c r="V12" s="131" t="n"/>
      <c r="W12" s="132" t="n"/>
      <c r="X12" s="127">
        <f>SUM(U12,W12)</f>
        <v/>
      </c>
      <c r="Y12" s="127">
        <f>SUM(T12,V12)</f>
        <v/>
      </c>
      <c r="Z12" s="127">
        <f>AA11</f>
        <v/>
      </c>
      <c r="AA12" s="127">
        <f>Z12-X12</f>
        <v/>
      </c>
    </row>
    <row r="13">
      <c r="A13" s="19" t="n"/>
      <c r="B13" s="113" t="n"/>
      <c r="C13" s="113" t="n"/>
      <c r="D13" s="113" t="n"/>
      <c r="E13" s="113" t="n"/>
      <c r="F13" s="113" t="n"/>
      <c r="G13" s="113" t="n"/>
      <c r="J13" s="71">
        <f>SUM(J4:J12)</f>
        <v/>
      </c>
      <c r="K13" s="72">
        <f>SUM(K4:K12)</f>
        <v/>
      </c>
      <c r="M13" s="73" t="n"/>
      <c r="N13" s="74" t="n"/>
      <c r="O13" s="75" t="n"/>
      <c r="S13" s="122" t="n"/>
      <c r="T13" s="129" t="n"/>
      <c r="U13" s="130" t="n"/>
      <c r="V13" s="131" t="n"/>
      <c r="W13" s="132" t="n"/>
      <c r="X13" s="127">
        <f>SUM(U13,W13)</f>
        <v/>
      </c>
      <c r="Y13" s="127">
        <f>SUM(T13,V13)</f>
        <v/>
      </c>
      <c r="Z13" s="127">
        <f>AA12</f>
        <v/>
      </c>
      <c r="AA13" s="127">
        <f>Z13-X13</f>
        <v/>
      </c>
    </row>
    <row r="14" ht="33.75" customHeight="1" s="160">
      <c r="A14" s="77" t="n"/>
      <c r="B14" s="79" t="n"/>
      <c r="C14" s="79" t="n"/>
      <c r="D14" s="79" t="n"/>
      <c r="E14" s="79" t="n"/>
      <c r="F14" s="79" t="n"/>
      <c r="G14" s="79" t="n"/>
      <c r="H14" s="79" t="n"/>
      <c r="S14" s="122" t="n"/>
      <c r="T14" s="129" t="n"/>
      <c r="U14" s="130" t="n"/>
      <c r="V14" s="131" t="n"/>
      <c r="W14" s="132" t="n"/>
      <c r="X14" s="127">
        <f>SUM(U14,W14)</f>
        <v/>
      </c>
      <c r="Y14" s="127">
        <f>SUM(T14,V14)</f>
        <v/>
      </c>
      <c r="Z14" s="128">
        <f>AA13+200</f>
        <v/>
      </c>
      <c r="AA14" s="127">
        <f>Z14-X14</f>
        <v/>
      </c>
    </row>
    <row r="15" ht="31.5" customHeight="1" s="160">
      <c r="A15" s="19" t="n"/>
      <c r="B15" s="113" t="n"/>
      <c r="C15" s="113" t="n"/>
      <c r="D15" s="113" t="n"/>
      <c r="E15" s="113" t="n"/>
      <c r="F15" s="113" t="n"/>
      <c r="G15" s="81" t="n"/>
      <c r="H15" s="83" t="n"/>
      <c r="I15" s="84" t="n"/>
      <c r="J15" s="85" t="n"/>
      <c r="K15" s="86" t="n"/>
      <c r="M15" s="6" t="n"/>
      <c r="N15" s="6" t="n"/>
      <c r="O15" s="6" t="n"/>
      <c r="P15" s="6" t="n"/>
      <c r="S15" s="133" t="n"/>
      <c r="T15" s="129" t="n"/>
      <c r="U15" s="130" t="n"/>
      <c r="V15" s="131" t="n"/>
      <c r="W15" s="132" t="n"/>
      <c r="X15" s="127">
        <f>SUM(U15,W15)</f>
        <v/>
      </c>
      <c r="Y15" s="127">
        <f>SUM(T15,V15)</f>
        <v/>
      </c>
      <c r="Z15" s="127">
        <f>AA14</f>
        <v/>
      </c>
      <c r="AA15" s="127">
        <f>Z15-X15</f>
        <v/>
      </c>
    </row>
    <row r="16" ht="39" customHeight="1" s="160">
      <c r="A16" s="87" t="n"/>
      <c r="B16" s="88" t="n"/>
      <c r="C16" s="88" t="n"/>
      <c r="D16" s="181" t="n"/>
      <c r="E16" s="88" t="n"/>
      <c r="F16" s="113" t="n"/>
      <c r="G16" s="81" t="n"/>
      <c r="H16" s="83" t="n"/>
      <c r="I16" s="90" t="n"/>
      <c r="J16" s="78" t="n"/>
      <c r="K16" s="91" t="n"/>
      <c r="L16" s="113" t="n"/>
      <c r="M16" s="92" t="n"/>
      <c r="N16" s="113" t="n"/>
      <c r="O16" s="80" t="n"/>
      <c r="P16" s="80" t="n"/>
      <c r="S16" s="122" t="n"/>
      <c r="T16" s="129" t="n"/>
      <c r="U16" s="130" t="n"/>
      <c r="V16" s="131" t="n"/>
      <c r="W16" s="132" t="n"/>
      <c r="X16" s="127">
        <f>SUM(U16,W16)</f>
        <v/>
      </c>
      <c r="Y16" s="127">
        <f>SUM(T16,V16)</f>
        <v/>
      </c>
      <c r="Z16" s="127">
        <f>AA15</f>
        <v/>
      </c>
      <c r="AA16" s="127">
        <f>Z16-X16</f>
        <v/>
      </c>
    </row>
    <row r="17" ht="45" customHeight="1" s="160">
      <c r="A17" s="94" t="n"/>
      <c r="B17" s="88" t="n"/>
      <c r="C17" s="88" t="n"/>
      <c r="D17" s="88" t="n"/>
      <c r="E17" s="88" t="n"/>
      <c r="F17" s="88" t="n"/>
      <c r="G17" s="88" t="n"/>
      <c r="H17" s="95" t="n"/>
      <c r="I17" s="42" t="n"/>
      <c r="J17" s="43" t="n"/>
      <c r="K17" s="44" t="n"/>
      <c r="M17" s="92" t="n"/>
      <c r="N17" s="113" t="n"/>
      <c r="O17" s="80" t="n"/>
      <c r="P17" s="80" t="n"/>
      <c r="S17" s="134" t="n"/>
      <c r="T17" s="129" t="n"/>
      <c r="U17" s="130" t="n"/>
      <c r="V17" s="131" t="n"/>
      <c r="W17" s="132" t="n"/>
      <c r="X17" s="127">
        <f>SUM(U17,W17)</f>
        <v/>
      </c>
      <c r="Y17" s="127">
        <f>SUM(T17,V17)</f>
        <v/>
      </c>
      <c r="Z17" s="127">
        <f>AA16</f>
        <v/>
      </c>
      <c r="AA17" s="127">
        <f>Z17-X17</f>
        <v/>
      </c>
    </row>
    <row r="18" ht="42" customHeight="1" s="160">
      <c r="A18" s="19" t="n"/>
      <c r="B18" s="79" t="n"/>
      <c r="C18" s="79" t="n"/>
      <c r="D18" s="79" t="n"/>
      <c r="E18" s="79" t="n"/>
      <c r="F18" s="79" t="n"/>
      <c r="G18" s="79" t="n"/>
      <c r="H18" s="83" t="n"/>
      <c r="I18" s="42" t="n"/>
      <c r="J18" s="43" t="n"/>
      <c r="K18" s="44" t="n"/>
      <c r="M18" s="96" t="n"/>
      <c r="N18" s="113" t="n"/>
      <c r="O18" s="113" t="n"/>
      <c r="P18" s="113" t="n"/>
      <c r="S18" s="135" t="n"/>
      <c r="T18" s="129" t="n"/>
      <c r="U18" s="130" t="n"/>
      <c r="V18" s="131" t="n"/>
      <c r="W18" s="132" t="n"/>
      <c r="X18" s="127">
        <f>SUM(U18,W18)</f>
        <v/>
      </c>
      <c r="Y18" s="127">
        <f>SUM(T18,V18)</f>
        <v/>
      </c>
      <c r="Z18" s="127">
        <f>AA17</f>
        <v/>
      </c>
      <c r="AA18" s="127">
        <f>Z18-X18</f>
        <v/>
      </c>
    </row>
    <row r="19" ht="32.25" customHeight="1" s="160">
      <c r="A19" s="19" t="n"/>
      <c r="B19" s="113" t="n"/>
      <c r="C19" s="113" t="n"/>
      <c r="D19" s="113" t="n"/>
      <c r="E19" s="113" t="n"/>
      <c r="F19" s="113" t="n"/>
      <c r="G19" s="113" t="n"/>
      <c r="I19" s="42" t="n"/>
      <c r="J19" s="43" t="n"/>
      <c r="K19" s="44" t="n"/>
      <c r="M19" s="113" t="n"/>
      <c r="N19" s="113" t="n"/>
      <c r="O19" s="113" t="n"/>
      <c r="P19" s="113" t="n"/>
      <c r="S19" s="122" t="n"/>
      <c r="T19" s="129" t="n"/>
      <c r="U19" s="130" t="n"/>
      <c r="V19" s="131" t="n"/>
      <c r="W19" s="132" t="n"/>
      <c r="X19" s="127">
        <f>SUM(U19,W19)</f>
        <v/>
      </c>
      <c r="Y19" s="127">
        <f>SUM(T19,V19)</f>
        <v/>
      </c>
      <c r="Z19" s="127">
        <f>AA18</f>
        <v/>
      </c>
      <c r="AA19" s="127">
        <f>Z19-X19</f>
        <v/>
      </c>
    </row>
    <row r="20">
      <c r="A20" s="19" t="n"/>
      <c r="B20" s="113" t="n"/>
      <c r="C20" s="113" t="n"/>
      <c r="D20" s="113" t="n"/>
      <c r="E20" s="113" t="n"/>
      <c r="F20" s="113" t="n"/>
      <c r="G20" s="113" t="n"/>
      <c r="I20" s="42" t="n"/>
      <c r="J20" s="43" t="n"/>
      <c r="K20" s="44" t="n"/>
      <c r="M20" s="113" t="n"/>
      <c r="N20" s="113" t="n"/>
      <c r="O20" s="113" t="n"/>
      <c r="P20" s="113" t="n"/>
      <c r="S20" s="122" t="n"/>
      <c r="T20" s="129" t="n"/>
      <c r="U20" s="130" t="n"/>
      <c r="V20" s="131" t="n"/>
      <c r="W20" s="132" t="n"/>
      <c r="X20" s="127">
        <f>SUM(U20,W20)</f>
        <v/>
      </c>
      <c r="Y20" s="127">
        <f>SUM(T20,V20)</f>
        <v/>
      </c>
      <c r="Z20" s="127">
        <f>AA19</f>
        <v/>
      </c>
      <c r="AA20" s="127">
        <f>Z20-X20</f>
        <v/>
      </c>
    </row>
    <row r="21" ht="15.75" customHeight="1" s="160">
      <c r="A21" s="19" t="n"/>
      <c r="B21" s="113" t="n"/>
      <c r="C21" s="113" t="n"/>
      <c r="D21" s="113" t="n"/>
      <c r="E21" s="113" t="n"/>
      <c r="F21" s="113" t="n"/>
      <c r="G21" s="113" t="n"/>
      <c r="I21" s="42" t="n"/>
      <c r="J21" s="43" t="n"/>
      <c r="K21" s="44" t="n"/>
      <c r="S21" s="122" t="n"/>
      <c r="T21" s="129" t="n"/>
      <c r="U21" s="130" t="n"/>
      <c r="V21" s="131" t="n"/>
      <c r="W21" s="132" t="n"/>
      <c r="X21" s="127">
        <f>SUM(U21,W21)</f>
        <v/>
      </c>
      <c r="Y21" s="127">
        <f>SUM(T21,V21)</f>
        <v/>
      </c>
      <c r="Z21" s="128">
        <f>AA20+200</f>
        <v/>
      </c>
      <c r="AA21" s="127">
        <f>Z21-X21</f>
        <v/>
      </c>
    </row>
    <row r="22" ht="15.75" customHeight="1" s="160">
      <c r="A22" s="19" t="n"/>
      <c r="B22" s="113" t="n"/>
      <c r="C22" s="113" t="n"/>
      <c r="D22" s="113" t="n"/>
      <c r="E22" s="113" t="n"/>
      <c r="F22" s="113" t="n"/>
      <c r="G22" s="113" t="n"/>
      <c r="I22" s="42" t="n"/>
      <c r="J22" s="43" t="n"/>
      <c r="K22" s="44" t="n"/>
      <c r="S22" s="136" t="n"/>
      <c r="T22" s="137" t="n"/>
      <c r="U22" s="138" t="n"/>
      <c r="V22" s="139" t="n"/>
      <c r="W22" s="132" t="n"/>
      <c r="X22" s="127">
        <f>SUM(U22,W22)</f>
        <v/>
      </c>
      <c r="Y22" s="127">
        <f>SUM(T22,V22)</f>
        <v/>
      </c>
      <c r="Z22" s="127">
        <f>AA21</f>
        <v/>
      </c>
      <c r="AA22" s="127">
        <f>Z22-X22</f>
        <v/>
      </c>
    </row>
    <row r="23" ht="15.75" customHeight="1" s="160">
      <c r="A23" s="19" t="n"/>
      <c r="B23" s="113" t="n"/>
      <c r="C23" s="113" t="n"/>
      <c r="D23" s="113" t="n"/>
      <c r="E23" s="113" t="n"/>
      <c r="F23" s="113" t="n"/>
      <c r="G23" s="113" t="n"/>
      <c r="I23" s="63" t="n"/>
      <c r="J23" s="100" t="n"/>
      <c r="K23" s="101" t="n"/>
      <c r="S23" s="136" t="n"/>
      <c r="T23" s="137" t="n"/>
      <c r="U23" s="138" t="n"/>
      <c r="V23" s="139" t="n"/>
      <c r="W23" s="132" t="n"/>
      <c r="X23" s="127">
        <f>SUM(U23,W23)</f>
        <v/>
      </c>
      <c r="Y23" s="127">
        <f>SUM(T23,V23)</f>
        <v/>
      </c>
      <c r="Z23" s="127">
        <f>AA22</f>
        <v/>
      </c>
      <c r="AA23" s="127">
        <f>Z23-X23</f>
        <v/>
      </c>
    </row>
    <row r="24" ht="15.75" customHeight="1" s="160">
      <c r="A24" s="19" t="n"/>
      <c r="B24" s="113" t="n"/>
      <c r="C24" s="113" t="n"/>
      <c r="D24" s="113" t="n"/>
      <c r="E24" s="113" t="n"/>
      <c r="F24" s="113" t="n"/>
      <c r="G24" s="113" t="n"/>
      <c r="S24" s="136" t="n"/>
      <c r="T24" s="137" t="n"/>
      <c r="U24" s="138" t="n"/>
      <c r="V24" s="139" t="n"/>
      <c r="W24" s="132" t="n"/>
      <c r="X24" s="127">
        <f>SUM(U24,W24)</f>
        <v/>
      </c>
      <c r="Y24" s="127">
        <f>SUM(T24,V24)</f>
        <v/>
      </c>
      <c r="Z24" s="127">
        <f>AA23</f>
        <v/>
      </c>
      <c r="AA24" s="127">
        <f>Z24-X24</f>
        <v/>
      </c>
    </row>
    <row r="25" ht="15.75" customHeight="1" s="160">
      <c r="A25" s="19" t="n"/>
      <c r="B25" s="113" t="n"/>
      <c r="C25" s="113" t="n"/>
      <c r="D25" s="113" t="n"/>
      <c r="E25" s="113" t="n"/>
      <c r="F25" s="113" t="n"/>
      <c r="G25" s="113" t="n"/>
      <c r="I25" s="233" t="n"/>
      <c r="S25" s="136" t="n"/>
      <c r="T25" s="137" t="n"/>
      <c r="U25" s="138" t="n"/>
      <c r="V25" s="139" t="n"/>
      <c r="W25" s="132" t="n"/>
      <c r="X25" s="127">
        <f>SUM(U25,W25)</f>
        <v/>
      </c>
      <c r="Y25" s="127">
        <f>SUM(T25,V25)</f>
        <v/>
      </c>
      <c r="Z25" s="127">
        <f>AA24</f>
        <v/>
      </c>
      <c r="AA25" s="127">
        <f>Z25-X25</f>
        <v/>
      </c>
    </row>
    <row r="26" ht="15.75" customHeight="1" s="160">
      <c r="A26" s="19" t="n"/>
      <c r="B26" s="113" t="n"/>
      <c r="C26" s="113" t="n"/>
      <c r="D26" s="113" t="n"/>
      <c r="E26" s="113" t="n"/>
      <c r="F26" s="113" t="n"/>
      <c r="G26" s="113" t="n"/>
      <c r="S26" s="136" t="n"/>
      <c r="T26" s="137" t="n"/>
      <c r="U26" s="138" t="n"/>
      <c r="V26" s="139" t="n"/>
      <c r="W26" s="132" t="n"/>
      <c r="X26" s="127">
        <f>SUM(U26,W26)</f>
        <v/>
      </c>
      <c r="Y26" s="127">
        <f>SUM(T26,V26)</f>
        <v/>
      </c>
      <c r="Z26" s="127">
        <f>AA25</f>
        <v/>
      </c>
      <c r="AA26" s="127">
        <f>Z26-X26</f>
        <v/>
      </c>
    </row>
    <row r="27" ht="15.75" customHeight="1" s="160">
      <c r="A27" s="19" t="n"/>
      <c r="B27" s="113" t="n"/>
      <c r="C27" s="113" t="n"/>
      <c r="D27" s="113" t="n"/>
      <c r="E27" s="113" t="n"/>
      <c r="F27" s="113" t="n"/>
      <c r="G27" s="113" t="n"/>
      <c r="S27" s="136" t="n"/>
      <c r="T27" s="137" t="n"/>
      <c r="U27" s="138" t="n"/>
      <c r="V27" s="139" t="n"/>
      <c r="W27" s="132" t="n"/>
      <c r="X27" s="127">
        <f>SUM(U27,W27)</f>
        <v/>
      </c>
      <c r="Y27" s="127">
        <f>SUM(T27,V27)</f>
        <v/>
      </c>
      <c r="Z27" s="127">
        <f>AA26</f>
        <v/>
      </c>
      <c r="AA27" s="127">
        <f>Z27-X27</f>
        <v/>
      </c>
    </row>
    <row r="28" ht="15.75" customHeight="1" s="160">
      <c r="A28" s="19" t="n"/>
      <c r="B28" s="113" t="n"/>
      <c r="C28" s="113" t="n"/>
      <c r="D28" s="113" t="n"/>
      <c r="E28" s="113" t="n"/>
      <c r="F28" s="113" t="n"/>
      <c r="G28" s="113" t="n"/>
      <c r="S28" s="136" t="n"/>
      <c r="T28" s="137" t="n"/>
      <c r="U28" s="138" t="n"/>
      <c r="V28" s="139" t="n"/>
      <c r="W28" s="132" t="n"/>
      <c r="X28" s="127">
        <f>SUM(U28,W28)</f>
        <v/>
      </c>
      <c r="Y28" s="127">
        <f>SUM(T28,V28)</f>
        <v/>
      </c>
      <c r="Z28" s="127">
        <f>AA27</f>
        <v/>
      </c>
      <c r="AA28" s="127">
        <f>Z28-X28</f>
        <v/>
      </c>
    </row>
    <row r="29" ht="15.75" customHeight="1" s="160">
      <c r="A29" s="19" t="n"/>
      <c r="B29" s="113" t="n"/>
      <c r="C29" s="113" t="n"/>
      <c r="D29" s="113" t="n"/>
      <c r="E29" s="113" t="n"/>
      <c r="F29" s="113" t="n"/>
      <c r="G29" s="113" t="n"/>
      <c r="S29" s="136" t="n"/>
      <c r="T29" s="137" t="n"/>
      <c r="U29" s="138" t="n"/>
      <c r="V29" s="139" t="n"/>
      <c r="W29" s="132" t="n"/>
      <c r="X29" s="127">
        <f>SUM(U29,W29)</f>
        <v/>
      </c>
      <c r="Y29" s="127">
        <f>SUM(T29,V29)</f>
        <v/>
      </c>
      <c r="Z29" s="127">
        <f>AA28</f>
        <v/>
      </c>
      <c r="AA29" s="127">
        <f>Z29-X29</f>
        <v/>
      </c>
    </row>
    <row r="30" ht="15.75" customHeight="1" s="160">
      <c r="A30" s="19" t="n"/>
      <c r="B30" s="113" t="n"/>
      <c r="C30" s="113" t="n"/>
      <c r="D30" s="113" t="n"/>
      <c r="E30" s="113" t="n"/>
      <c r="F30" s="113" t="n"/>
      <c r="G30" s="113" t="n"/>
      <c r="S30" s="136" t="n"/>
      <c r="T30" s="137" t="n"/>
      <c r="U30" s="138" t="n"/>
      <c r="V30" s="139" t="n"/>
      <c r="W30" s="132" t="n"/>
      <c r="X30" s="127">
        <f>SUM(U30,W30)</f>
        <v/>
      </c>
      <c r="Y30" s="127">
        <f>SUM(T30,V30)</f>
        <v/>
      </c>
      <c r="Z30" s="127">
        <f>AA29</f>
        <v/>
      </c>
      <c r="AA30" s="127">
        <f>Z30-X30</f>
        <v/>
      </c>
    </row>
    <row r="31" ht="15.75" customHeight="1" s="160">
      <c r="A31" s="19" t="n"/>
      <c r="B31" s="113" t="n"/>
      <c r="C31" s="113" t="n"/>
      <c r="D31" s="113" t="n"/>
      <c r="E31" s="113" t="n"/>
      <c r="F31" s="113" t="n"/>
      <c r="G31" s="113" t="n"/>
      <c r="S31" s="136" t="n"/>
      <c r="T31" s="137" t="n"/>
      <c r="U31" s="138" t="n"/>
      <c r="V31" s="139" t="n"/>
      <c r="W31" s="132" t="n"/>
      <c r="X31" s="127">
        <f>SUM(U31,W31)</f>
        <v/>
      </c>
      <c r="Y31" s="127">
        <f>SUM(T31,V31)</f>
        <v/>
      </c>
      <c r="Z31" s="127">
        <f>AA30</f>
        <v/>
      </c>
      <c r="AA31" s="127">
        <f>Z31-X31</f>
        <v/>
      </c>
    </row>
    <row r="32" ht="15.75" customHeight="1" s="160">
      <c r="A32" s="19" t="n"/>
      <c r="B32" s="113" t="n"/>
      <c r="C32" s="113" t="n"/>
      <c r="D32" s="113" t="n"/>
      <c r="E32" s="113" t="n"/>
      <c r="F32" s="113" t="n"/>
      <c r="G32" s="113" t="n"/>
      <c r="S32" s="136" t="n"/>
      <c r="T32" s="137" t="n"/>
      <c r="U32" s="138" t="n"/>
      <c r="V32" s="139" t="n"/>
      <c r="W32" s="132" t="n"/>
      <c r="X32" s="127">
        <f>SUM(U32,W32)</f>
        <v/>
      </c>
      <c r="Y32" s="127">
        <f>SUM(T32,V32)</f>
        <v/>
      </c>
      <c r="Z32" s="127">
        <f>AA31</f>
        <v/>
      </c>
      <c r="AA32" s="127">
        <f>Z32-X32</f>
        <v/>
      </c>
    </row>
    <row r="33" ht="15.75" customHeight="1" s="160">
      <c r="A33" s="19" t="n"/>
      <c r="B33" s="113" t="n"/>
      <c r="C33" s="113" t="n"/>
      <c r="D33" s="113" t="n"/>
      <c r="E33" s="113" t="n"/>
      <c r="F33" s="113" t="n"/>
      <c r="G33" s="113" t="n"/>
      <c r="S33" s="136" t="n"/>
      <c r="T33" s="137" t="n"/>
      <c r="U33" s="138" t="n"/>
      <c r="V33" s="139" t="n"/>
      <c r="W33" s="132" t="n"/>
      <c r="X33" s="127">
        <f>SUM(U33,W33)</f>
        <v/>
      </c>
      <c r="Y33" s="127">
        <f>SUM(T33,V33)</f>
        <v/>
      </c>
      <c r="Z33" s="127">
        <f>AA32</f>
        <v/>
      </c>
      <c r="AA33" s="127">
        <f>Z33-X33</f>
        <v/>
      </c>
    </row>
    <row r="34" ht="15.75" customHeight="1" s="160">
      <c r="A34" s="19" t="n"/>
      <c r="B34" s="113" t="n"/>
      <c r="C34" s="113" t="n"/>
      <c r="D34" s="113" t="n"/>
      <c r="E34" s="113" t="n"/>
      <c r="F34" s="113" t="n"/>
      <c r="G34" s="113" t="n"/>
      <c r="S34" s="136" t="n"/>
      <c r="T34" s="137" t="n"/>
      <c r="U34" s="138" t="n"/>
      <c r="V34" s="139" t="n"/>
      <c r="W34" s="132" t="n"/>
      <c r="X34" s="127">
        <f>SUM(U34,W34)</f>
        <v/>
      </c>
      <c r="Y34" s="127">
        <f>SUM(T34,V34)</f>
        <v/>
      </c>
      <c r="Z34" s="127">
        <f>AA33</f>
        <v/>
      </c>
      <c r="AA34" s="127">
        <f>Z34-X34</f>
        <v/>
      </c>
    </row>
    <row r="35" ht="15.75" customHeight="1" s="160">
      <c r="A35" s="19" t="n"/>
      <c r="B35" s="113" t="n"/>
      <c r="C35" s="113" t="n"/>
      <c r="D35" s="113" t="n"/>
      <c r="E35" s="113" t="n"/>
      <c r="F35" s="113" t="n"/>
      <c r="G35" s="113" t="n"/>
      <c r="S35" s="136" t="n"/>
      <c r="T35" s="137" t="n"/>
      <c r="U35" s="138" t="n"/>
      <c r="V35" s="139" t="n"/>
      <c r="W35" s="132" t="n"/>
      <c r="X35" s="127">
        <f>SUM(U35,W35)</f>
        <v/>
      </c>
      <c r="Y35" s="127">
        <f>SUM(T35,V35)</f>
        <v/>
      </c>
      <c r="Z35" s="127">
        <f>AA34</f>
        <v/>
      </c>
      <c r="AA35" s="127">
        <f>Z35-X35</f>
        <v/>
      </c>
    </row>
    <row r="36" ht="15.75" customHeight="1" s="160">
      <c r="A36" s="19" t="n"/>
      <c r="B36" s="113" t="n"/>
      <c r="C36" s="113" t="n"/>
      <c r="D36" s="113" t="n"/>
      <c r="E36" s="113" t="n"/>
      <c r="F36" s="113" t="n"/>
      <c r="G36" s="113" t="n"/>
      <c r="S36" s="136" t="n"/>
      <c r="T36" s="137" t="n"/>
      <c r="U36" s="138" t="n"/>
      <c r="V36" s="139" t="n"/>
      <c r="W36" s="132" t="n"/>
      <c r="X36" s="127">
        <f>SUM(U36,W36)</f>
        <v/>
      </c>
      <c r="Y36" s="127">
        <f>SUM(T36,V36)</f>
        <v/>
      </c>
      <c r="Z36" s="127">
        <f>AA35</f>
        <v/>
      </c>
      <c r="AA36" s="127">
        <f>Z36-X36</f>
        <v/>
      </c>
    </row>
    <row r="37" ht="15.75" customHeight="1" s="160">
      <c r="A37" s="19" t="n"/>
      <c r="B37" s="113" t="n"/>
      <c r="C37" s="113" t="n"/>
      <c r="D37" s="113" t="n"/>
      <c r="E37" s="113" t="n"/>
      <c r="F37" s="113" t="n"/>
      <c r="G37" s="113" t="n"/>
      <c r="S37" s="136" t="n"/>
      <c r="T37" s="137" t="n"/>
      <c r="U37" s="138" t="n"/>
      <c r="V37" s="139" t="n"/>
      <c r="W37" s="132" t="n"/>
      <c r="X37" s="127">
        <f>SUM(U37,W37)</f>
        <v/>
      </c>
      <c r="Y37" s="127">
        <f>SUM(T37,V37)</f>
        <v/>
      </c>
      <c r="Z37" s="127">
        <f>AA36</f>
        <v/>
      </c>
      <c r="AA37" s="127">
        <f>Z37-X37</f>
        <v/>
      </c>
    </row>
    <row r="38" ht="15.75" customHeight="1" s="160">
      <c r="A38" s="19" t="n"/>
      <c r="B38" s="113" t="n"/>
      <c r="C38" s="113" t="n"/>
      <c r="D38" s="113" t="n"/>
      <c r="E38" s="113" t="n"/>
      <c r="F38" s="113" t="n"/>
      <c r="G38" s="113" t="n"/>
      <c r="S38" s="136" t="n"/>
      <c r="T38" s="137" t="n"/>
      <c r="U38" s="138" t="n"/>
      <c r="V38" s="139" t="n"/>
      <c r="W38" s="132" t="n"/>
      <c r="X38" s="127">
        <f>SUM(U38,W38)</f>
        <v/>
      </c>
      <c r="Y38" s="127">
        <f>SUM(T38,V38)</f>
        <v/>
      </c>
      <c r="Z38" s="127">
        <f>AA37</f>
        <v/>
      </c>
      <c r="AA38" s="127">
        <f>Z38-X38</f>
        <v/>
      </c>
    </row>
    <row r="39" ht="15.75" customHeight="1" s="160">
      <c r="A39" s="19" t="n"/>
      <c r="B39" s="113" t="n"/>
      <c r="C39" s="113" t="n"/>
      <c r="D39" s="113" t="n"/>
      <c r="E39" s="113" t="n"/>
      <c r="F39" s="113" t="n"/>
      <c r="G39" s="113" t="n"/>
      <c r="S39" s="136" t="n"/>
      <c r="T39" s="137" t="n"/>
      <c r="U39" s="138" t="n"/>
      <c r="V39" s="139" t="n"/>
      <c r="W39" s="132" t="n"/>
      <c r="X39" s="127">
        <f>SUM(U39,W39)</f>
        <v/>
      </c>
      <c r="Y39" s="127">
        <f>SUM(T39,V39)</f>
        <v/>
      </c>
      <c r="Z39" s="127">
        <f>AA38</f>
        <v/>
      </c>
      <c r="AA39" s="127">
        <f>Z39-X39</f>
        <v/>
      </c>
    </row>
    <row r="40" ht="15.75" customHeight="1" s="160">
      <c r="A40" s="19" t="n"/>
      <c r="B40" s="113" t="n"/>
      <c r="C40" s="113" t="n"/>
      <c r="D40" s="113" t="n"/>
      <c r="E40" s="113" t="n"/>
      <c r="F40" s="113" t="n"/>
      <c r="G40" s="113" t="n"/>
      <c r="S40" s="136" t="n"/>
      <c r="T40" s="137" t="n"/>
      <c r="U40" s="138" t="n"/>
      <c r="V40" s="139" t="n"/>
      <c r="W40" s="132" t="n"/>
      <c r="X40" s="127">
        <f>SUM(U40,W40)</f>
        <v/>
      </c>
      <c r="Y40" s="127">
        <f>SUM(T40,V40)</f>
        <v/>
      </c>
      <c r="Z40" s="127">
        <f>AA39</f>
        <v/>
      </c>
      <c r="AA40" s="127">
        <f>Z40-X40</f>
        <v/>
      </c>
    </row>
    <row r="41" ht="15.75" customHeight="1" s="160">
      <c r="A41" s="19" t="n"/>
      <c r="B41" s="113" t="n"/>
      <c r="C41" s="113" t="n"/>
      <c r="D41" s="113" t="n"/>
      <c r="E41" s="113" t="n"/>
      <c r="F41" s="113" t="n"/>
      <c r="G41" s="113" t="n"/>
      <c r="S41" s="136" t="n"/>
      <c r="T41" s="137" t="n"/>
      <c r="U41" s="138" t="n"/>
      <c r="V41" s="139" t="n"/>
      <c r="W41" s="132" t="n"/>
      <c r="X41" s="127">
        <f>SUM(U41,W41)</f>
        <v/>
      </c>
      <c r="Y41" s="127">
        <f>SUM(T41,V41)</f>
        <v/>
      </c>
      <c r="Z41" s="127">
        <f>AA40</f>
        <v/>
      </c>
      <c r="AA41" s="127">
        <f>Z41-X41</f>
        <v/>
      </c>
    </row>
    <row r="42" ht="15.75" customHeight="1" s="160">
      <c r="A42" s="19" t="n"/>
      <c r="B42" s="113" t="n"/>
      <c r="C42" s="113" t="n"/>
      <c r="D42" s="113" t="n"/>
      <c r="E42" s="113" t="n"/>
      <c r="F42" s="113" t="n"/>
      <c r="G42" s="113" t="n"/>
      <c r="S42" s="136" t="n"/>
      <c r="T42" s="137" t="n"/>
      <c r="U42" s="138" t="n"/>
      <c r="V42" s="139" t="n"/>
      <c r="W42" s="132" t="n"/>
      <c r="X42" s="127">
        <f>SUM(U42,W42)</f>
        <v/>
      </c>
      <c r="Y42" s="127">
        <f>SUM(T42,V42)</f>
        <v/>
      </c>
      <c r="Z42" s="127">
        <f>AA41</f>
        <v/>
      </c>
      <c r="AA42" s="127">
        <f>Z42-X42</f>
        <v/>
      </c>
    </row>
    <row r="43" ht="15.75" customHeight="1" s="160">
      <c r="A43" s="19" t="n"/>
      <c r="B43" s="113" t="n"/>
      <c r="C43" s="113" t="n"/>
      <c r="D43" s="113" t="n"/>
      <c r="E43" s="113" t="n"/>
      <c r="F43" s="113" t="n"/>
      <c r="G43" s="113" t="n"/>
      <c r="S43" s="136" t="n"/>
      <c r="T43" s="137" t="n"/>
      <c r="U43" s="138" t="n"/>
      <c r="V43" s="139" t="n"/>
      <c r="W43" s="132" t="n"/>
      <c r="X43" s="127">
        <f>SUM(U43,W43)</f>
        <v/>
      </c>
      <c r="Y43" s="127">
        <f>SUM(T43,V43)</f>
        <v/>
      </c>
      <c r="Z43" s="127">
        <f>AA42</f>
        <v/>
      </c>
      <c r="AA43" s="127">
        <f>Z43-X43</f>
        <v/>
      </c>
    </row>
    <row r="44" ht="15.75" customHeight="1" s="160">
      <c r="A44" s="19" t="n"/>
      <c r="B44" s="113" t="n"/>
      <c r="C44" s="113" t="n"/>
      <c r="D44" s="113" t="n"/>
      <c r="E44" s="113" t="n"/>
      <c r="F44" s="113" t="n"/>
      <c r="G44" s="113" t="n"/>
      <c r="S44" s="136" t="n"/>
      <c r="T44" s="137" t="n"/>
      <c r="U44" s="138" t="n"/>
      <c r="V44" s="139" t="n"/>
      <c r="W44" s="132" t="n"/>
      <c r="X44" s="127">
        <f>SUM(U44,W44)</f>
        <v/>
      </c>
      <c r="Y44" s="127">
        <f>SUM(T44,V44)</f>
        <v/>
      </c>
      <c r="Z44" s="127">
        <f>AA43</f>
        <v/>
      </c>
      <c r="AA44" s="127">
        <f>Z44-X44</f>
        <v/>
      </c>
    </row>
    <row r="45" ht="15.75" customHeight="1" s="160">
      <c r="A45" s="19" t="n"/>
      <c r="B45" s="113" t="n"/>
      <c r="C45" s="113" t="n"/>
      <c r="D45" s="113" t="n"/>
      <c r="E45" s="113" t="n"/>
      <c r="F45" s="113" t="n"/>
      <c r="G45" s="113" t="n"/>
      <c r="S45" s="136" t="n"/>
      <c r="T45" s="137" t="n"/>
      <c r="U45" s="138" t="n"/>
      <c r="V45" s="139" t="n"/>
      <c r="W45" s="132" t="n"/>
      <c r="X45" s="127">
        <f>SUM(U45,W45)</f>
        <v/>
      </c>
      <c r="Y45" s="127">
        <f>SUM(T45,V45)</f>
        <v/>
      </c>
      <c r="Z45" s="127">
        <f>AA44</f>
        <v/>
      </c>
      <c r="AA45" s="127">
        <f>Z45-X45</f>
        <v/>
      </c>
    </row>
    <row r="46" ht="15.75" customHeight="1" s="160">
      <c r="A46" s="19" t="n"/>
      <c r="B46" s="113" t="n"/>
      <c r="C46" s="113" t="n"/>
      <c r="D46" s="113" t="n"/>
      <c r="E46" s="113" t="n"/>
      <c r="F46" s="113" t="n"/>
      <c r="G46" s="113" t="n"/>
      <c r="S46" s="136" t="n"/>
      <c r="T46" s="137" t="n"/>
      <c r="U46" s="138" t="n"/>
      <c r="V46" s="139" t="n"/>
      <c r="W46" s="132" t="n"/>
      <c r="X46" s="127">
        <f>SUM(U46,W46)</f>
        <v/>
      </c>
      <c r="Y46" s="127">
        <f>SUM(T46,V46)</f>
        <v/>
      </c>
      <c r="Z46" s="127">
        <f>AA45</f>
        <v/>
      </c>
      <c r="AA46" s="127">
        <f>Z46-X46</f>
        <v/>
      </c>
    </row>
    <row r="47" ht="15.75" customHeight="1" s="160">
      <c r="A47" s="19" t="n"/>
      <c r="B47" s="113" t="n"/>
      <c r="C47" s="113" t="n"/>
      <c r="D47" s="113" t="n"/>
      <c r="E47" s="113" t="n"/>
      <c r="F47" s="113" t="n"/>
      <c r="G47" s="113" t="n"/>
      <c r="S47" s="136" t="n"/>
      <c r="T47" s="137" t="n"/>
      <c r="U47" s="138" t="n"/>
      <c r="V47" s="139" t="n"/>
      <c r="W47" s="132" t="n"/>
      <c r="X47" s="127">
        <f>SUM(U47,W47)</f>
        <v/>
      </c>
      <c r="Y47" s="127">
        <f>SUM(T47,V47)</f>
        <v/>
      </c>
      <c r="Z47" s="127">
        <f>AA46</f>
        <v/>
      </c>
      <c r="AA47" s="127">
        <f>Z47-X47</f>
        <v/>
      </c>
    </row>
    <row r="48" ht="15.75" customHeight="1" s="160">
      <c r="A48" s="19" t="n"/>
      <c r="B48" s="113" t="n"/>
      <c r="C48" s="113" t="n"/>
      <c r="D48" s="113" t="n"/>
      <c r="E48" s="113" t="n"/>
      <c r="F48" s="113" t="n"/>
      <c r="G48" s="113" t="n"/>
      <c r="S48" s="136" t="n"/>
      <c r="T48" s="137" t="n"/>
      <c r="U48" s="138" t="n"/>
      <c r="V48" s="139" t="n"/>
      <c r="W48" s="132" t="n"/>
      <c r="X48" s="127">
        <f>SUM(U48,W48)</f>
        <v/>
      </c>
      <c r="Y48" s="127">
        <f>SUM(T48,V48)</f>
        <v/>
      </c>
      <c r="Z48" s="127">
        <f>AA47</f>
        <v/>
      </c>
      <c r="AA48" s="127">
        <f>Z48-X48</f>
        <v/>
      </c>
    </row>
    <row r="49" ht="15.75" customHeight="1" s="160">
      <c r="A49" s="19" t="n"/>
      <c r="B49" s="113" t="n"/>
      <c r="C49" s="113" t="n"/>
      <c r="D49" s="113" t="n"/>
      <c r="E49" s="113" t="n"/>
      <c r="F49" s="113" t="n"/>
      <c r="G49" s="113" t="n"/>
      <c r="S49" s="136" t="n"/>
      <c r="T49" s="137" t="n"/>
      <c r="U49" s="138" t="n"/>
      <c r="V49" s="139" t="n"/>
      <c r="W49" s="132" t="n"/>
      <c r="X49" s="127">
        <f>SUM(U49,W49)</f>
        <v/>
      </c>
      <c r="Y49" s="127">
        <f>SUM(T49,V49)</f>
        <v/>
      </c>
      <c r="Z49" s="127">
        <f>AA48</f>
        <v/>
      </c>
      <c r="AA49" s="127">
        <f>Z49-X49</f>
        <v/>
      </c>
    </row>
    <row r="50" ht="15.75" customHeight="1" s="160">
      <c r="A50" s="19" t="n"/>
      <c r="B50" s="113" t="n"/>
      <c r="C50" s="113" t="n"/>
      <c r="D50" s="113" t="n"/>
      <c r="E50" s="113" t="n"/>
      <c r="F50" s="113" t="n"/>
      <c r="G50" s="113" t="n"/>
      <c r="S50" s="136" t="n"/>
      <c r="T50" s="137" t="n"/>
      <c r="U50" s="138" t="n"/>
      <c r="V50" s="139" t="n"/>
      <c r="W50" s="132" t="n"/>
      <c r="X50" s="127">
        <f>SUM(U50,W50)</f>
        <v/>
      </c>
      <c r="Y50" s="127">
        <f>SUM(T50,V50)</f>
        <v/>
      </c>
      <c r="Z50" s="127">
        <f>AA49</f>
        <v/>
      </c>
      <c r="AA50" s="127">
        <f>Z50-X50</f>
        <v/>
      </c>
    </row>
    <row r="51" ht="15.75" customHeight="1" s="160">
      <c r="A51" s="19" t="n"/>
      <c r="B51" s="113" t="n"/>
      <c r="C51" s="113" t="n"/>
      <c r="D51" s="113" t="n"/>
      <c r="E51" s="113" t="n"/>
      <c r="F51" s="113" t="n"/>
      <c r="G51" s="113" t="n"/>
      <c r="S51" s="136" t="n"/>
      <c r="T51" s="137" t="n"/>
      <c r="U51" s="138" t="n"/>
      <c r="V51" s="139" t="n"/>
      <c r="W51" s="132" t="n"/>
      <c r="X51" s="127">
        <f>SUM(U51,W51)</f>
        <v/>
      </c>
      <c r="Y51" s="127">
        <f>SUM(T51,V51)</f>
        <v/>
      </c>
      <c r="Z51" s="127">
        <f>AA50</f>
        <v/>
      </c>
      <c r="AA51" s="127">
        <f>Z51-X51</f>
        <v/>
      </c>
    </row>
    <row r="52" ht="15.75" customHeight="1" s="160">
      <c r="A52" s="19" t="n"/>
      <c r="B52" s="113" t="n"/>
      <c r="C52" s="113" t="n"/>
      <c r="D52" s="113" t="n"/>
      <c r="E52" s="113" t="n"/>
      <c r="F52" s="113" t="n"/>
      <c r="G52" s="113" t="n"/>
      <c r="S52" s="136" t="n"/>
      <c r="T52" s="137" t="n"/>
      <c r="U52" s="138" t="n"/>
      <c r="V52" s="139" t="n"/>
      <c r="W52" s="132" t="n"/>
      <c r="X52" s="127">
        <f>SUM(U52,W52)</f>
        <v/>
      </c>
      <c r="Y52" s="127">
        <f>SUM(T52,V52)</f>
        <v/>
      </c>
      <c r="Z52" s="127">
        <f>AA51</f>
        <v/>
      </c>
      <c r="AA52" s="127">
        <f>Z52-X52</f>
        <v/>
      </c>
    </row>
    <row r="53" ht="15.75" customHeight="1" s="160">
      <c r="A53" s="19" t="n"/>
      <c r="B53" s="113" t="n"/>
      <c r="C53" s="113" t="n"/>
      <c r="D53" s="113" t="n"/>
      <c r="E53" s="113" t="n"/>
      <c r="F53" s="113" t="n"/>
      <c r="G53" s="113" t="n"/>
      <c r="S53" s="136" t="n"/>
      <c r="T53" s="137" t="n"/>
      <c r="U53" s="138" t="n"/>
      <c r="V53" s="139" t="n"/>
      <c r="W53" s="132" t="n"/>
      <c r="X53" s="127">
        <f>SUM(U53,W53)</f>
        <v/>
      </c>
      <c r="Y53" s="127">
        <f>SUM(T53,V53)</f>
        <v/>
      </c>
      <c r="Z53" s="127">
        <f>AA52</f>
        <v/>
      </c>
      <c r="AA53" s="127">
        <f>Z53-X53</f>
        <v/>
      </c>
    </row>
    <row r="54" ht="15.75" customHeight="1" s="160">
      <c r="A54" s="19" t="n"/>
      <c r="B54" s="113" t="n"/>
      <c r="C54" s="113" t="n"/>
      <c r="D54" s="113" t="n"/>
      <c r="E54" s="113" t="n"/>
      <c r="F54" s="113" t="n"/>
      <c r="G54" s="113" t="n"/>
      <c r="S54" s="136" t="n"/>
      <c r="T54" s="137" t="n"/>
      <c r="U54" s="138" t="n"/>
      <c r="V54" s="139" t="n"/>
      <c r="W54" s="132" t="n"/>
      <c r="X54" s="127">
        <f>SUM(U54,W54)</f>
        <v/>
      </c>
      <c r="Y54" s="127">
        <f>SUM(T54,V54)</f>
        <v/>
      </c>
      <c r="Z54" s="127">
        <f>AA53</f>
        <v/>
      </c>
      <c r="AA54" s="127">
        <f>Z54-X54</f>
        <v/>
      </c>
    </row>
    <row r="55" ht="15.75" customHeight="1" s="160">
      <c r="S55" s="136" t="n"/>
      <c r="T55" s="140" t="n"/>
      <c r="U55" s="141" t="n"/>
      <c r="V55" s="142" t="n"/>
      <c r="W55" s="143" t="n"/>
      <c r="X55" s="127">
        <f>SUM(U55,W55)</f>
        <v/>
      </c>
      <c r="Y55" s="127">
        <f>SUM(T55,V55)</f>
        <v/>
      </c>
      <c r="Z55" s="127">
        <f>AA54</f>
        <v/>
      </c>
      <c r="AA55" s="127">
        <f>Z55-X55</f>
        <v/>
      </c>
    </row>
    <row r="56" ht="15.75" customHeight="1" s="160">
      <c r="X56">
        <f>SUM(X4:X55)</f>
        <v/>
      </c>
      <c r="Y56">
        <f>SUM(Y4:Y55)</f>
        <v/>
      </c>
    </row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8">
    <mergeCell ref="V2:W2"/>
    <mergeCell ref="T2:U2"/>
    <mergeCell ref="Z2:AA2"/>
    <mergeCell ref="I25:I26"/>
    <mergeCell ref="M2:O2"/>
    <mergeCell ref="X2:X3"/>
    <mergeCell ref="S2:S3"/>
    <mergeCell ref="Y2:Y3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topLeftCell="A20" zoomScale="48" zoomScaleNormal="115" workbookViewId="0">
      <selection activeCell="L24" sqref="L24"/>
    </sheetView>
  </sheetViews>
  <sheetFormatPr baseColWidth="8" defaultColWidth="12.64453125" defaultRowHeight="15" customHeight="1"/>
  <cols>
    <col width="12.23828125" customWidth="1" style="160" min="1" max="1"/>
    <col width="33.08984375" customWidth="1" style="160" min="2" max="2"/>
    <col width="15.87109375" customWidth="1" style="160" min="3" max="3"/>
    <col width="23.9453125" customWidth="1" style="160" min="4" max="4"/>
    <col width="15.73828125" customWidth="1" style="160" min="5" max="5"/>
    <col width="34.16796875" customWidth="1" style="160" min="6" max="6"/>
    <col width="22.05859375" customWidth="1" style="160" min="7" max="7"/>
    <col width="23" customWidth="1" style="160" min="8" max="8"/>
    <col width="22.1953125" customWidth="1" style="160" min="9" max="9"/>
    <col width="14.390625" customWidth="1" style="160" min="10" max="10"/>
    <col width="29.0546875" customWidth="1" style="160" min="11" max="11"/>
    <col width="32.28515625" customWidth="1" style="160" min="12" max="12"/>
    <col width="16.27734375" customWidth="1" style="160" min="13" max="13"/>
    <col width="8.609375" customWidth="1" style="160" min="14" max="26"/>
  </cols>
  <sheetData>
    <row r="1" ht="14.25" customHeight="1" s="160">
      <c r="B1" s="234" t="inlineStr">
        <is>
          <t xml:space="preserve">Observations </t>
        </is>
      </c>
    </row>
    <row r="2" ht="14.25" customHeight="1" s="160"/>
    <row r="3" ht="14.25" customHeight="1" s="160"/>
    <row r="4" ht="14.25" customHeight="1" s="160">
      <c r="A4" s="235" t="inlineStr">
        <is>
          <t xml:space="preserve">Date </t>
        </is>
      </c>
      <c r="B4" s="236" t="inlineStr">
        <is>
          <t xml:space="preserve">Morning </t>
        </is>
      </c>
      <c r="C4" s="237" t="n"/>
      <c r="D4" s="237" t="n"/>
      <c r="E4" s="237" t="n"/>
      <c r="F4" s="237" t="n"/>
      <c r="G4" s="238" t="n"/>
      <c r="H4" s="236" t="inlineStr">
        <is>
          <t xml:space="preserve">Afternoon </t>
        </is>
      </c>
      <c r="I4" s="237" t="n"/>
      <c r="J4" s="237" t="n"/>
      <c r="K4" s="237" t="n"/>
      <c r="L4" s="237" t="n"/>
      <c r="M4" s="238" t="n"/>
    </row>
    <row r="5" ht="14.25" customHeight="1" s="160">
      <c r="A5" s="239" t="n"/>
      <c r="B5" s="8" t="inlineStr">
        <is>
          <t xml:space="preserve">Behaviour / Condition </t>
        </is>
      </c>
      <c r="C5" s="10" t="inlineStr">
        <is>
          <t xml:space="preserve">Water </t>
        </is>
      </c>
      <c r="D5" s="10" t="inlineStr">
        <is>
          <t xml:space="preserve">Dung </t>
        </is>
      </c>
      <c r="E5" s="10" t="inlineStr">
        <is>
          <t xml:space="preserve">Pen Condition </t>
        </is>
      </c>
      <c r="F5" s="10" t="inlineStr">
        <is>
          <t xml:space="preserve">Notes </t>
        </is>
      </c>
      <c r="G5" s="12" t="inlineStr">
        <is>
          <t xml:space="preserve">Weather </t>
        </is>
      </c>
      <c r="H5" s="8" t="inlineStr">
        <is>
          <t xml:space="preserve">Behaviour / Condition </t>
        </is>
      </c>
      <c r="I5" s="10" t="inlineStr">
        <is>
          <t xml:space="preserve">Water </t>
        </is>
      </c>
      <c r="J5" s="10" t="inlineStr">
        <is>
          <t xml:space="preserve">Dung </t>
        </is>
      </c>
      <c r="K5" s="10" t="inlineStr">
        <is>
          <t xml:space="preserve">Pen Condition </t>
        </is>
      </c>
      <c r="L5" s="10" t="inlineStr">
        <is>
          <t xml:space="preserve">Notes </t>
        </is>
      </c>
      <c r="M5" s="12" t="inlineStr">
        <is>
          <t xml:space="preserve">Weather </t>
        </is>
      </c>
    </row>
    <row r="6" ht="14.25" customHeight="1" s="160">
      <c r="A6" s="240" t="n"/>
      <c r="B6" s="241" t="n"/>
      <c r="C6" s="242" t="n"/>
      <c r="D6" s="242" t="n"/>
      <c r="E6" s="242" t="n"/>
      <c r="F6" s="242" t="n"/>
      <c r="G6" s="243" t="n"/>
      <c r="H6" s="241" t="n"/>
      <c r="I6" s="242" t="n"/>
      <c r="J6" s="242" t="n"/>
      <c r="K6" s="242" t="n"/>
      <c r="L6" s="242" t="n"/>
      <c r="M6" s="243" t="n"/>
    </row>
    <row r="7" ht="14.25" customHeight="1" s="160">
      <c r="A7" s="244" t="n"/>
      <c r="B7" s="245" t="n"/>
      <c r="C7" s="246" t="n"/>
      <c r="D7" s="246" t="n"/>
      <c r="E7" s="246" t="n"/>
      <c r="F7" s="246" t="n"/>
      <c r="G7" s="247" t="n"/>
      <c r="H7" s="245" t="n"/>
      <c r="I7" s="246" t="n"/>
      <c r="J7" s="246" t="n"/>
      <c r="K7" s="246" t="n"/>
      <c r="L7" s="246" t="n"/>
      <c r="M7" s="247" t="n"/>
    </row>
    <row r="8" ht="14.25" customHeight="1" s="160">
      <c r="A8" s="248" t="n"/>
      <c r="B8" s="225" t="n"/>
      <c r="C8" s="249" t="n"/>
      <c r="D8" s="249" t="n"/>
      <c r="E8" s="249" t="n"/>
      <c r="F8" s="249" t="n"/>
      <c r="G8" s="250" t="n"/>
      <c r="H8" s="225" t="n"/>
      <c r="I8" s="249" t="n"/>
      <c r="J8" s="249" t="n"/>
      <c r="K8" s="249" t="n"/>
      <c r="L8" s="249" t="n"/>
      <c r="M8" s="250" t="n"/>
      <c r="N8" s="41" t="n"/>
    </row>
    <row r="9" ht="14.25" customHeight="1" s="160">
      <c r="A9" s="65" t="n"/>
      <c r="B9" s="67" t="n"/>
      <c r="C9" s="251" t="n"/>
      <c r="D9" s="69" t="n"/>
      <c r="E9" s="69" t="n"/>
      <c r="F9" s="69" t="n"/>
      <c r="G9" s="252" t="n"/>
      <c r="H9" s="67" t="n"/>
      <c r="I9" s="69" t="n"/>
      <c r="J9" s="69" t="n"/>
      <c r="K9" s="69" t="n"/>
      <c r="L9" s="69" t="n"/>
      <c r="M9" s="253" t="n"/>
      <c r="N9" s="41" t="n"/>
    </row>
    <row r="10" ht="45" customHeight="1" s="160">
      <c r="A10" s="244" t="n"/>
      <c r="B10" s="245" t="n"/>
      <c r="D10" s="246" t="n"/>
      <c r="E10" s="246" t="n"/>
      <c r="F10" s="246" t="n"/>
      <c r="G10" s="254" t="n"/>
      <c r="H10" s="245" t="n"/>
      <c r="I10" s="246" t="n"/>
      <c r="J10" s="246" t="n"/>
      <c r="K10" s="246" t="n"/>
      <c r="L10" s="246" t="n"/>
      <c r="M10" s="255" t="n"/>
      <c r="N10" s="41" t="n"/>
    </row>
    <row r="11" ht="47.25" customHeight="1" s="160">
      <c r="A11" s="248" t="n"/>
      <c r="B11" s="225" t="n"/>
      <c r="C11" s="256" t="n"/>
      <c r="D11" s="249" t="n"/>
      <c r="E11" s="249" t="n"/>
      <c r="F11" s="249" t="n"/>
      <c r="G11" s="257" t="n"/>
      <c r="H11" s="225" t="n"/>
      <c r="I11" s="249" t="n"/>
      <c r="J11" s="249" t="n"/>
      <c r="K11" s="249" t="n"/>
      <c r="L11" s="249" t="n"/>
      <c r="M11" s="258" t="n"/>
      <c r="N11" s="41" t="n"/>
    </row>
    <row r="12" ht="42" customHeight="1" s="160">
      <c r="A12" s="118" t="n"/>
      <c r="B12" s="67" t="n"/>
      <c r="C12" s="69" t="n"/>
      <c r="D12" s="69" t="n"/>
      <c r="E12" s="69" t="n"/>
      <c r="F12" s="69" t="n"/>
      <c r="G12" s="70" t="n"/>
      <c r="H12" s="67" t="n"/>
      <c r="I12" s="69" t="n"/>
      <c r="J12" s="69" t="n"/>
      <c r="K12" s="69" t="n"/>
      <c r="L12" s="69" t="n"/>
      <c r="M12" s="70" t="n"/>
    </row>
    <row r="13" ht="44.25" customHeight="1" s="160">
      <c r="A13" s="244" t="n"/>
      <c r="B13" s="245" t="n"/>
      <c r="C13" s="246" t="n"/>
      <c r="D13" s="246" t="n"/>
      <c r="E13" s="246" t="n"/>
      <c r="F13" s="246" t="n"/>
      <c r="G13" s="247" t="n"/>
      <c r="H13" s="245" t="n"/>
      <c r="I13" s="246" t="n"/>
      <c r="J13" s="246" t="n"/>
      <c r="K13" s="246" t="n"/>
      <c r="L13" s="246" t="n"/>
      <c r="M13" s="247" t="n"/>
    </row>
    <row r="14" ht="39" customHeight="1" s="160">
      <c r="A14" s="248" t="n"/>
      <c r="B14" s="225" t="n"/>
      <c r="C14" s="249" t="n"/>
      <c r="D14" s="249" t="n"/>
      <c r="E14" s="249" t="n"/>
      <c r="F14" s="249" t="n"/>
      <c r="G14" s="250" t="n"/>
      <c r="H14" s="225" t="n"/>
      <c r="I14" s="249" t="n"/>
      <c r="J14" s="249" t="n"/>
      <c r="K14" s="249" t="n"/>
      <c r="L14" s="249" t="n"/>
      <c r="M14" s="250" t="n"/>
    </row>
    <row r="15" ht="81" customHeight="1" s="160">
      <c r="A15" s="65" t="n"/>
      <c r="B15" s="67" t="n"/>
      <c r="C15" s="69" t="n"/>
      <c r="D15" s="69" t="n"/>
      <c r="E15" s="69" t="n"/>
      <c r="F15" s="69" t="n"/>
      <c r="G15" s="70" t="n"/>
      <c r="H15" s="67" t="n"/>
      <c r="I15" s="69" t="n"/>
      <c r="J15" s="69" t="n"/>
      <c r="K15" s="69" t="n"/>
      <c r="L15" s="69" t="n"/>
      <c r="M15" s="70" t="n"/>
    </row>
    <row r="16" ht="72" customHeight="1" s="160">
      <c r="A16" s="65" t="n"/>
      <c r="B16" s="67" t="n"/>
      <c r="C16" s="78" t="n"/>
      <c r="D16" s="69" t="n"/>
      <c r="E16" s="69" t="n"/>
      <c r="F16" s="69" t="n"/>
      <c r="G16" s="70" t="n"/>
      <c r="H16" s="67" t="n"/>
      <c r="I16" s="69" t="n"/>
      <c r="J16" s="69" t="n"/>
      <c r="K16" s="69" t="n"/>
      <c r="L16" s="69" t="n"/>
      <c r="M16" s="70" t="n"/>
    </row>
    <row r="17" ht="68.25" customHeight="1" s="160">
      <c r="A17" s="65" t="n"/>
      <c r="B17" s="67" t="n"/>
      <c r="C17" s="69" t="n"/>
      <c r="D17" s="69" t="n"/>
      <c r="E17" s="69" t="n"/>
      <c r="F17" s="69" t="n"/>
      <c r="G17" s="70" t="n"/>
      <c r="H17" s="67" t="n"/>
      <c r="I17" s="69" t="n"/>
      <c r="J17" s="69" t="n"/>
      <c r="K17" s="69" t="n"/>
      <c r="L17" s="69" t="n"/>
      <c r="M17" s="70" t="n"/>
    </row>
    <row r="18" ht="74.25" customHeight="1" s="160">
      <c r="A18" s="65" t="n"/>
      <c r="B18" s="67" t="n"/>
      <c r="C18" s="69" t="n"/>
      <c r="D18" s="69" t="n"/>
      <c r="E18" s="69" t="n"/>
      <c r="F18" s="69" t="n"/>
      <c r="G18" s="70" t="n"/>
      <c r="H18" s="67" t="n"/>
      <c r="I18" s="69" t="n"/>
      <c r="J18" s="69" t="n"/>
      <c r="K18" s="69" t="n"/>
      <c r="L18" s="69" t="n"/>
      <c r="M18" s="70" t="n"/>
    </row>
    <row r="19" ht="45" customHeight="1" s="160">
      <c r="A19" s="65" t="n"/>
      <c r="B19" s="67" t="n"/>
      <c r="C19" s="69" t="n"/>
      <c r="D19" s="69" t="n"/>
      <c r="E19" s="69" t="n"/>
      <c r="F19" s="69" t="n"/>
      <c r="G19" s="70" t="n"/>
      <c r="H19" s="67" t="n"/>
      <c r="I19" s="69" t="n"/>
      <c r="J19" s="169" t="n"/>
      <c r="K19" s="69" t="n"/>
      <c r="L19" s="69" t="n"/>
      <c r="M19" s="70" t="n"/>
    </row>
    <row r="20" ht="58.9" customHeight="1" s="160">
      <c r="A20" s="118" t="n"/>
      <c r="B20" s="67" t="n"/>
      <c r="C20" s="69" t="n"/>
      <c r="D20" s="69" t="n"/>
      <c r="E20" s="69" t="n"/>
      <c r="F20" s="69" t="n"/>
      <c r="G20" s="70" t="n"/>
      <c r="H20" s="67" t="n"/>
      <c r="I20" s="69" t="n"/>
      <c r="J20" s="69" t="n"/>
      <c r="K20" s="69" t="n"/>
      <c r="L20" s="69" t="n"/>
      <c r="M20" s="70" t="n"/>
    </row>
    <row r="21" ht="59.45" customFormat="1" customHeight="1" s="144">
      <c r="A21" s="118" t="n"/>
      <c r="B21" s="67" t="n"/>
      <c r="C21" s="69" t="n"/>
      <c r="D21" s="69" t="n"/>
      <c r="E21" s="69" t="n"/>
      <c r="F21" s="69" t="n"/>
      <c r="G21" s="70" t="n"/>
      <c r="H21" s="67" t="n"/>
      <c r="I21" s="69" t="n"/>
      <c r="J21" s="69" t="n"/>
      <c r="K21" s="69" t="n"/>
      <c r="L21" s="69" t="n"/>
      <c r="M21" s="70" t="n"/>
    </row>
    <row r="22" ht="67.15000000000001" customFormat="1" customHeight="1" s="144">
      <c r="A22" s="118" t="n"/>
      <c r="B22" s="67" t="n"/>
      <c r="C22" s="69" t="n"/>
      <c r="D22" s="69" t="n"/>
      <c r="E22" s="69" t="n"/>
      <c r="F22" s="69" t="n"/>
      <c r="G22" s="70" t="n"/>
      <c r="H22" s="67" t="n"/>
      <c r="I22" s="69" t="n"/>
      <c r="J22" s="69" t="n"/>
      <c r="K22" s="69" t="n"/>
      <c r="L22" s="69" t="n"/>
      <c r="M22" s="70" t="n"/>
    </row>
    <row r="23" ht="62.25" customFormat="1" customHeight="1" s="144">
      <c r="A23" s="118" t="n"/>
      <c r="B23" s="67" t="n"/>
      <c r="C23" s="69" t="n"/>
      <c r="D23" s="69" t="n"/>
      <c r="E23" s="69" t="n"/>
      <c r="F23" s="69" t="n"/>
      <c r="G23" s="70" t="n"/>
      <c r="H23" s="67" t="n"/>
      <c r="I23" s="69" t="n"/>
      <c r="J23" s="69" t="n"/>
      <c r="K23" s="69" t="n"/>
      <c r="L23" s="69" t="n"/>
      <c r="M23" s="70" t="n"/>
    </row>
    <row r="24" ht="55.9" customFormat="1" customHeight="1" s="144">
      <c r="A24" s="118" t="n"/>
      <c r="B24" s="67" t="n"/>
      <c r="C24" s="69" t="n"/>
      <c r="D24" s="69" t="n"/>
      <c r="E24" s="69" t="n"/>
      <c r="F24" s="69" t="n"/>
      <c r="G24" s="70" t="n"/>
      <c r="H24" s="67" t="n"/>
      <c r="I24" s="69" t="n"/>
      <c r="J24" s="69" t="n"/>
      <c r="K24" s="69" t="n"/>
      <c r="L24" s="69" t="n"/>
      <c r="M24" s="70" t="n"/>
    </row>
    <row r="25" ht="14.25" customHeight="1" s="160">
      <c r="A25" s="93" t="n"/>
      <c r="B25" s="42" t="n"/>
      <c r="C25" s="46" t="n"/>
      <c r="D25" s="46" t="n"/>
      <c r="E25" s="46" t="n"/>
      <c r="F25" s="46" t="n"/>
      <c r="G25" s="47" t="n"/>
      <c r="H25" s="42" t="n"/>
      <c r="I25" s="46" t="n"/>
      <c r="J25" s="46" t="n"/>
      <c r="K25" s="46" t="n"/>
      <c r="L25" s="46" t="n"/>
      <c r="M25" s="47" t="n"/>
    </row>
    <row r="26" ht="14.25" customHeight="1" s="160">
      <c r="A26" s="93" t="n"/>
      <c r="B26" s="42" t="n"/>
      <c r="C26" s="46" t="n"/>
      <c r="D26" s="46" t="n"/>
      <c r="E26" s="46" t="n"/>
      <c r="F26" s="46" t="n"/>
      <c r="G26" s="47" t="n"/>
      <c r="H26" s="42" t="n"/>
      <c r="I26" s="46" t="n"/>
      <c r="J26" s="46" t="n"/>
      <c r="K26" s="46" t="n"/>
      <c r="L26" s="46" t="n"/>
      <c r="M26" s="47" t="n"/>
    </row>
    <row r="27" ht="14.25" customHeight="1" s="160">
      <c r="A27" s="93" t="n"/>
      <c r="B27" s="42" t="n"/>
      <c r="C27" s="46" t="n"/>
      <c r="D27" s="46" t="n"/>
      <c r="E27" s="46" t="n"/>
      <c r="F27" s="46" t="n"/>
      <c r="G27" s="47" t="n"/>
      <c r="H27" s="42" t="n"/>
      <c r="I27" s="46" t="n"/>
      <c r="J27" s="46" t="n"/>
      <c r="K27" s="46" t="n"/>
      <c r="L27" s="46" t="n"/>
      <c r="M27" s="47" t="n"/>
    </row>
    <row r="28" ht="14.25" customHeight="1" s="160">
      <c r="A28" s="93" t="n"/>
      <c r="B28" s="42" t="n"/>
      <c r="C28" s="46" t="n"/>
      <c r="D28" s="46" t="n"/>
      <c r="E28" s="46" t="n"/>
      <c r="F28" s="46" t="n"/>
      <c r="G28" s="47" t="n"/>
      <c r="H28" s="42" t="n"/>
      <c r="I28" s="46" t="n"/>
      <c r="J28" s="46" t="n"/>
      <c r="K28" s="46" t="n"/>
      <c r="L28" s="46" t="n"/>
      <c r="M28" s="47" t="n"/>
    </row>
    <row r="29" ht="14.25" customHeight="1" s="160">
      <c r="A29" s="93" t="n"/>
      <c r="B29" s="42" t="n"/>
      <c r="C29" s="46" t="n"/>
      <c r="D29" s="46" t="n"/>
      <c r="E29" s="46" t="n"/>
      <c r="F29" s="46" t="n"/>
      <c r="G29" s="47" t="n"/>
      <c r="H29" s="42" t="n"/>
      <c r="I29" s="46" t="n"/>
      <c r="J29" s="46" t="n"/>
      <c r="K29" s="46" t="n"/>
      <c r="L29" s="46" t="n"/>
      <c r="M29" s="47" t="n"/>
    </row>
    <row r="30" ht="14.25" customHeight="1" s="160">
      <c r="A30" s="93" t="n"/>
      <c r="B30" s="42" t="n"/>
      <c r="C30" s="46" t="n"/>
      <c r="D30" s="46" t="n"/>
      <c r="E30" s="46" t="n"/>
      <c r="F30" s="46" t="n"/>
      <c r="G30" s="47" t="n"/>
      <c r="H30" s="42" t="n"/>
      <c r="I30" s="46" t="n"/>
      <c r="J30" s="46" t="n"/>
      <c r="K30" s="46" t="n"/>
      <c r="L30" s="46" t="n"/>
      <c r="M30" s="47" t="n"/>
    </row>
    <row r="31" ht="14.25" customHeight="1" s="160">
      <c r="A31" s="93" t="n"/>
      <c r="B31" s="42" t="n"/>
      <c r="C31" s="46" t="n"/>
      <c r="D31" s="46" t="n"/>
      <c r="E31" s="46" t="n"/>
      <c r="F31" s="46" t="n"/>
      <c r="G31" s="47" t="n"/>
      <c r="H31" s="42" t="n"/>
      <c r="I31" s="46" t="n"/>
      <c r="J31" s="46" t="n"/>
      <c r="K31" s="46" t="n"/>
      <c r="L31" s="46" t="n"/>
      <c r="M31" s="47" t="n"/>
    </row>
    <row r="32" ht="14.25" customHeight="1" s="160">
      <c r="A32" s="93" t="n"/>
      <c r="B32" s="42" t="n"/>
      <c r="C32" s="46" t="n"/>
      <c r="D32" s="46" t="n"/>
      <c r="E32" s="46" t="n"/>
      <c r="F32" s="46" t="n"/>
      <c r="G32" s="47" t="n"/>
      <c r="H32" s="42" t="n"/>
      <c r="I32" s="46" t="n"/>
      <c r="J32" s="46" t="n"/>
      <c r="K32" s="46" t="n"/>
      <c r="L32" s="46" t="n"/>
      <c r="M32" s="47" t="n"/>
    </row>
    <row r="33" ht="14.25" customHeight="1" s="160">
      <c r="A33" s="93" t="n"/>
      <c r="B33" s="42" t="n"/>
      <c r="C33" s="46" t="n"/>
      <c r="D33" s="46" t="n"/>
      <c r="E33" s="46" t="n"/>
      <c r="F33" s="46" t="n"/>
      <c r="G33" s="47" t="n"/>
      <c r="H33" s="42" t="n"/>
      <c r="I33" s="46" t="n"/>
      <c r="J33" s="46" t="n"/>
      <c r="K33" s="46" t="n"/>
      <c r="L33" s="46" t="n"/>
      <c r="M33" s="47" t="n"/>
    </row>
    <row r="34" ht="14.25" customHeight="1" s="160">
      <c r="A34" s="93" t="n"/>
      <c r="B34" s="42" t="n"/>
      <c r="C34" s="46" t="n"/>
      <c r="D34" s="46" t="n"/>
      <c r="E34" s="46" t="n"/>
      <c r="F34" s="46" t="n"/>
      <c r="G34" s="47" t="n"/>
      <c r="H34" s="42" t="n"/>
      <c r="I34" s="46" t="n"/>
      <c r="J34" s="46" t="n"/>
      <c r="K34" s="46" t="n"/>
      <c r="L34" s="46" t="n"/>
      <c r="M34" s="47" t="n"/>
    </row>
    <row r="35" ht="14.25" customHeight="1" s="160">
      <c r="A35" s="93" t="n"/>
      <c r="B35" s="42" t="n"/>
      <c r="C35" s="46" t="n"/>
      <c r="D35" s="46" t="n"/>
      <c r="E35" s="46" t="n"/>
      <c r="F35" s="46" t="n"/>
      <c r="G35" s="47" t="n"/>
      <c r="H35" s="42" t="n"/>
      <c r="I35" s="46" t="n"/>
      <c r="J35" s="46" t="n"/>
      <c r="K35" s="46" t="n"/>
      <c r="L35" s="46" t="n"/>
      <c r="M35" s="47" t="n"/>
    </row>
    <row r="36" ht="14.25" customHeight="1" s="160">
      <c r="A36" s="93" t="n"/>
      <c r="B36" s="42" t="n"/>
      <c r="C36" s="46" t="n"/>
      <c r="D36" s="46" t="n"/>
      <c r="E36" s="46" t="n"/>
      <c r="F36" s="46" t="n"/>
      <c r="G36" s="47" t="n"/>
      <c r="H36" s="42" t="n"/>
      <c r="I36" s="46" t="n"/>
      <c r="J36" s="46" t="n"/>
      <c r="K36" s="46" t="n"/>
      <c r="L36" s="46" t="n"/>
      <c r="M36" s="47" t="n"/>
    </row>
    <row r="37" ht="14.25" customHeight="1" s="160">
      <c r="A37" s="93" t="n"/>
      <c r="B37" s="42" t="n"/>
      <c r="C37" s="46" t="n"/>
      <c r="D37" s="46" t="n"/>
      <c r="E37" s="46" t="n"/>
      <c r="F37" s="46" t="n"/>
      <c r="G37" s="47" t="n"/>
      <c r="H37" s="42" t="n"/>
      <c r="I37" s="46" t="n"/>
      <c r="J37" s="46" t="n"/>
      <c r="K37" s="46" t="n"/>
      <c r="L37" s="46" t="n"/>
      <c r="M37" s="47" t="n"/>
    </row>
    <row r="38" ht="14.25" customHeight="1" s="160">
      <c r="A38" s="93" t="n"/>
      <c r="B38" s="42" t="n"/>
      <c r="C38" s="46" t="n"/>
      <c r="D38" s="46" t="n"/>
      <c r="E38" s="46" t="n"/>
      <c r="F38" s="46" t="n"/>
      <c r="G38" s="47" t="n"/>
      <c r="H38" s="42" t="n"/>
      <c r="I38" s="46" t="n"/>
      <c r="J38" s="46" t="n"/>
      <c r="K38" s="46" t="n"/>
      <c r="L38" s="46" t="n"/>
      <c r="M38" s="47" t="n"/>
    </row>
    <row r="39" ht="14.25" customHeight="1" s="160">
      <c r="A39" s="93" t="n"/>
      <c r="B39" s="42" t="n"/>
      <c r="C39" s="46" t="n"/>
      <c r="D39" s="46" t="n"/>
      <c r="E39" s="46" t="n"/>
      <c r="F39" s="46" t="n"/>
      <c r="G39" s="47" t="n"/>
      <c r="H39" s="42" t="n"/>
      <c r="I39" s="46" t="n"/>
      <c r="J39" s="46" t="n"/>
      <c r="K39" s="46" t="n"/>
      <c r="L39" s="46" t="n"/>
      <c r="M39" s="47" t="n"/>
    </row>
    <row r="40" ht="14.25" customHeight="1" s="160">
      <c r="A40" s="93" t="n"/>
      <c r="B40" s="42" t="n"/>
      <c r="C40" s="46" t="n"/>
      <c r="D40" s="46" t="n"/>
      <c r="E40" s="46" t="n"/>
      <c r="F40" s="46" t="n"/>
      <c r="G40" s="47" t="n"/>
      <c r="H40" s="42" t="n"/>
      <c r="I40" s="46" t="n"/>
      <c r="J40" s="46" t="n"/>
      <c r="K40" s="46" t="n"/>
      <c r="L40" s="46" t="n"/>
      <c r="M40" s="47" t="n"/>
    </row>
    <row r="41" ht="14.25" customHeight="1" s="160">
      <c r="A41" s="93" t="n"/>
      <c r="B41" s="42" t="n"/>
      <c r="C41" s="46" t="n"/>
      <c r="D41" s="46" t="n"/>
      <c r="E41" s="46" t="n"/>
      <c r="F41" s="46" t="n"/>
      <c r="G41" s="47" t="n"/>
      <c r="H41" s="42" t="n"/>
      <c r="I41" s="46" t="n"/>
      <c r="J41" s="46" t="n"/>
      <c r="K41" s="46" t="n"/>
      <c r="L41" s="46" t="n"/>
      <c r="M41" s="47" t="n"/>
    </row>
    <row r="42" ht="14.25" customHeight="1" s="160">
      <c r="A42" s="93" t="n"/>
      <c r="B42" s="42" t="n"/>
      <c r="C42" s="46" t="n"/>
      <c r="D42" s="46" t="n"/>
      <c r="E42" s="46" t="n"/>
      <c r="F42" s="46" t="n"/>
      <c r="G42" s="47" t="n"/>
      <c r="H42" s="42" t="n"/>
      <c r="I42" s="46" t="n"/>
      <c r="J42" s="46" t="n"/>
      <c r="K42" s="46" t="n"/>
      <c r="L42" s="46" t="n"/>
      <c r="M42" s="47" t="n"/>
    </row>
    <row r="43" ht="14.25" customHeight="1" s="160">
      <c r="A43" s="93" t="n"/>
      <c r="B43" s="42" t="n"/>
      <c r="C43" s="46" t="n"/>
      <c r="D43" s="46" t="n"/>
      <c r="E43" s="46" t="n"/>
      <c r="F43" s="46" t="n"/>
      <c r="G43" s="47" t="n"/>
      <c r="H43" s="42" t="n"/>
      <c r="I43" s="46" t="n"/>
      <c r="J43" s="46" t="n"/>
      <c r="K43" s="46" t="n"/>
      <c r="L43" s="46" t="n"/>
      <c r="M43" s="47" t="n"/>
    </row>
    <row r="44" ht="14.25" customHeight="1" s="160">
      <c r="A44" s="93" t="n"/>
      <c r="B44" s="42" t="n"/>
      <c r="C44" s="46" t="n"/>
      <c r="D44" s="46" t="n"/>
      <c r="E44" s="46" t="n"/>
      <c r="F44" s="46" t="n"/>
      <c r="G44" s="47" t="n"/>
      <c r="H44" s="42" t="n"/>
      <c r="I44" s="46" t="n"/>
      <c r="J44" s="46" t="n"/>
      <c r="K44" s="46" t="n"/>
      <c r="L44" s="46" t="n"/>
      <c r="M44" s="47" t="n"/>
    </row>
    <row r="45" ht="14.25" customHeight="1" s="160">
      <c r="A45" s="93" t="n"/>
      <c r="B45" s="42" t="n"/>
      <c r="C45" s="46" t="n"/>
      <c r="D45" s="46" t="n"/>
      <c r="E45" s="46" t="n"/>
      <c r="F45" s="46" t="n"/>
      <c r="G45" s="47" t="n"/>
      <c r="H45" s="42" t="n"/>
      <c r="I45" s="46" t="n"/>
      <c r="J45" s="46" t="n"/>
      <c r="K45" s="46" t="n"/>
      <c r="L45" s="46" t="n"/>
      <c r="M45" s="47" t="n"/>
    </row>
    <row r="46" ht="14.25" customHeight="1" s="160">
      <c r="A46" s="93" t="n"/>
      <c r="B46" s="42" t="n"/>
      <c r="C46" s="46" t="n"/>
      <c r="D46" s="46" t="n"/>
      <c r="E46" s="46" t="n"/>
      <c r="F46" s="46" t="n"/>
      <c r="G46" s="47" t="n"/>
      <c r="H46" s="42" t="n"/>
      <c r="I46" s="46" t="n"/>
      <c r="J46" s="46" t="n"/>
      <c r="K46" s="46" t="n"/>
      <c r="L46" s="46" t="n"/>
      <c r="M46" s="47" t="n"/>
    </row>
    <row r="47" ht="14.25" customHeight="1" s="160">
      <c r="A47" s="93" t="n"/>
      <c r="B47" s="42" t="n"/>
      <c r="C47" s="46" t="n"/>
      <c r="D47" s="46" t="n"/>
      <c r="E47" s="46" t="n"/>
      <c r="F47" s="46" t="n"/>
      <c r="G47" s="47" t="n"/>
      <c r="H47" s="42" t="n"/>
      <c r="I47" s="46" t="n"/>
      <c r="J47" s="46" t="n"/>
      <c r="K47" s="46" t="n"/>
      <c r="L47" s="46" t="n"/>
      <c r="M47" s="47" t="n"/>
    </row>
    <row r="48" ht="14.25" customHeight="1" s="160">
      <c r="A48" s="93" t="n"/>
      <c r="B48" s="42" t="n"/>
      <c r="C48" s="46" t="n"/>
      <c r="D48" s="46" t="n"/>
      <c r="E48" s="46" t="n"/>
      <c r="F48" s="46" t="n"/>
      <c r="G48" s="47" t="n"/>
      <c r="H48" s="42" t="n"/>
      <c r="I48" s="46" t="n"/>
      <c r="J48" s="46" t="n"/>
      <c r="K48" s="46" t="n"/>
      <c r="L48" s="46" t="n"/>
      <c r="M48" s="47" t="n"/>
    </row>
    <row r="49" ht="14.25" customHeight="1" s="160">
      <c r="A49" s="93" t="n"/>
      <c r="B49" s="42" t="n"/>
      <c r="C49" s="46" t="n"/>
      <c r="D49" s="46" t="n"/>
      <c r="E49" s="46" t="n"/>
      <c r="F49" s="46" t="n"/>
      <c r="G49" s="47" t="n"/>
      <c r="H49" s="42" t="n"/>
      <c r="I49" s="46" t="n"/>
      <c r="J49" s="46" t="n"/>
      <c r="K49" s="46" t="n"/>
      <c r="L49" s="46" t="n"/>
      <c r="M49" s="47" t="n"/>
    </row>
    <row r="50" ht="14.25" customHeight="1" s="160">
      <c r="A50" s="93" t="n"/>
      <c r="B50" s="42" t="n"/>
      <c r="C50" s="46" t="n"/>
      <c r="D50" s="46" t="n"/>
      <c r="E50" s="46" t="n"/>
      <c r="F50" s="46" t="n"/>
      <c r="G50" s="47" t="n"/>
      <c r="H50" s="42" t="n"/>
      <c r="I50" s="46" t="n"/>
      <c r="J50" s="46" t="n"/>
      <c r="K50" s="46" t="n"/>
      <c r="L50" s="46" t="n"/>
      <c r="M50" s="47" t="n"/>
    </row>
    <row r="51" ht="14.25" customHeight="1" s="160">
      <c r="A51" s="93" t="n"/>
      <c r="B51" s="42" t="n"/>
      <c r="C51" s="46" t="n"/>
      <c r="D51" s="46" t="n"/>
      <c r="E51" s="46" t="n"/>
      <c r="F51" s="46" t="n"/>
      <c r="G51" s="47" t="n"/>
      <c r="H51" s="42" t="n"/>
      <c r="I51" s="46" t="n"/>
      <c r="J51" s="46" t="n"/>
      <c r="K51" s="46" t="n"/>
      <c r="L51" s="46" t="n"/>
      <c r="M51" s="47" t="n"/>
    </row>
    <row r="52" ht="14.25" customHeight="1" s="160">
      <c r="A52" s="93" t="n"/>
      <c r="B52" s="42" t="n"/>
      <c r="C52" s="46" t="n"/>
      <c r="D52" s="46" t="n"/>
      <c r="E52" s="46" t="n"/>
      <c r="F52" s="46" t="n"/>
      <c r="G52" s="47" t="n"/>
      <c r="H52" s="42" t="n"/>
      <c r="I52" s="46" t="n"/>
      <c r="J52" s="46" t="n"/>
      <c r="K52" s="46" t="n"/>
      <c r="L52" s="46" t="n"/>
      <c r="M52" s="47" t="n"/>
    </row>
    <row r="53" ht="14.25" customHeight="1" s="160">
      <c r="A53" s="106" t="n"/>
      <c r="B53" s="63" t="n"/>
      <c r="C53" s="74" t="n"/>
      <c r="D53" s="74" t="n"/>
      <c r="E53" s="74" t="n"/>
      <c r="F53" s="74" t="n"/>
      <c r="G53" s="75" t="n"/>
      <c r="H53" s="63" t="n"/>
      <c r="I53" s="74" t="n"/>
      <c r="J53" s="74" t="n"/>
      <c r="K53" s="74" t="n"/>
      <c r="L53" s="74" t="n"/>
      <c r="M53" s="75" t="n"/>
    </row>
    <row r="54" ht="14.25" customHeight="1" s="160">
      <c r="A54" s="107" t="n"/>
    </row>
    <row r="55" ht="14.25" customHeight="1" s="160">
      <c r="A55" s="107" t="n"/>
    </row>
    <row r="56" ht="14.25" customHeight="1" s="160">
      <c r="A56" s="107" t="n"/>
    </row>
    <row r="57" ht="14.25" customHeight="1" s="160">
      <c r="A57" s="107" t="n"/>
    </row>
    <row r="58" ht="14.25" customHeight="1" s="160">
      <c r="A58" s="107" t="n"/>
    </row>
    <row r="59" ht="14.25" customHeight="1" s="160">
      <c r="A59" s="107" t="n"/>
    </row>
    <row r="60" ht="14.25" customHeight="1" s="160">
      <c r="A60" s="107" t="n"/>
    </row>
    <row r="61" ht="14.25" customHeight="1" s="160">
      <c r="A61" s="107" t="n"/>
    </row>
    <row r="62" ht="14.25" customHeight="1" s="160">
      <c r="A62" s="107" t="n"/>
    </row>
    <row r="63" ht="14.25" customHeight="1" s="160">
      <c r="A63" s="107" t="n"/>
    </row>
    <row r="64" ht="14.25" customHeight="1" s="160">
      <c r="A64" s="107" t="n"/>
    </row>
    <row r="65" ht="14.25" customHeight="1" s="160"/>
    <row r="66" ht="14.25" customHeight="1" s="160"/>
    <row r="67" ht="14.25" customHeight="1" s="160"/>
    <row r="68" ht="14.25" customHeight="1" s="160"/>
    <row r="69" ht="14.25" customHeight="1" s="160"/>
    <row r="70" ht="14.25" customHeight="1" s="160"/>
    <row r="71" ht="14.25" customHeight="1" s="160"/>
    <row r="72" ht="14.25" customHeight="1" s="160"/>
    <row r="73" ht="14.25" customHeight="1" s="160"/>
    <row r="74" ht="14.25" customHeight="1" s="160"/>
    <row r="75" ht="14.25" customHeight="1" s="160"/>
    <row r="76" ht="14.25" customHeight="1" s="160"/>
    <row r="77" ht="14.25" customHeight="1" s="160"/>
    <row r="78" ht="14.25" customHeight="1" s="160"/>
    <row r="79" ht="14.25" customHeight="1" s="160"/>
    <row r="80" ht="14.25" customHeight="1" s="160"/>
    <row r="81" ht="14.25" customHeight="1" s="160"/>
    <row r="82" ht="14.25" customHeight="1" s="160"/>
    <row r="83" ht="14.25" customHeight="1" s="160"/>
    <row r="84" ht="14.25" customHeight="1" s="160"/>
    <row r="85" ht="14.25" customHeight="1" s="160"/>
    <row r="86" ht="14.25" customHeight="1" s="160"/>
    <row r="87" ht="14.25" customHeight="1" s="160"/>
    <row r="88" ht="14.25" customHeight="1" s="160"/>
    <row r="89" ht="14.25" customHeight="1" s="160"/>
    <row r="90" ht="14.25" customHeight="1" s="160"/>
    <row r="91" ht="14.25" customHeight="1" s="160"/>
    <row r="92" ht="14.25" customHeight="1" s="160"/>
    <row r="93" ht="14.25" customHeight="1" s="160"/>
    <row r="94" ht="14.25" customHeight="1" s="160"/>
    <row r="95" ht="14.25" customHeight="1" s="160"/>
    <row r="96" ht="14.25" customHeight="1" s="160"/>
    <row r="97" ht="14.25" customHeight="1" s="160"/>
    <row r="98" ht="14.25" customHeight="1" s="160"/>
    <row r="99" ht="14.25" customHeight="1" s="160"/>
    <row r="100" ht="14.25" customHeight="1" s="160"/>
    <row r="101" ht="14.25" customHeight="1" s="160"/>
    <row r="102" ht="14.25" customHeight="1" s="160"/>
    <row r="103" ht="14.25" customHeight="1" s="160"/>
    <row r="104" ht="14.25" customHeight="1" s="160"/>
    <row r="105" ht="14.25" customHeight="1" s="160"/>
    <row r="106" ht="14.25" customHeight="1" s="160"/>
    <row r="107" ht="14.25" customHeight="1" s="160"/>
    <row r="108" ht="14.25" customHeight="1" s="160"/>
    <row r="109" ht="14.25" customHeight="1" s="160"/>
    <row r="110" ht="14.25" customHeight="1" s="160"/>
    <row r="111" ht="14.25" customHeight="1" s="160"/>
    <row r="112" ht="14.25" customHeight="1" s="160"/>
    <row r="113" ht="14.25" customHeight="1" s="160"/>
    <row r="114" ht="14.25" customHeight="1" s="160"/>
    <row r="115" ht="14.25" customHeight="1" s="160"/>
    <row r="116" ht="14.25" customHeight="1" s="160"/>
    <row r="117" ht="14.25" customHeight="1" s="160"/>
    <row r="118" ht="14.25" customHeight="1" s="160"/>
    <row r="119" ht="14.25" customHeight="1" s="160"/>
    <row r="120" ht="14.25" customHeight="1" s="160"/>
    <row r="121" ht="14.25" customHeight="1" s="160"/>
    <row r="122" ht="14.25" customHeight="1" s="160"/>
    <row r="123" ht="14.25" customHeight="1" s="160"/>
    <row r="124" ht="14.25" customHeight="1" s="160"/>
    <row r="125" ht="14.25" customHeight="1" s="160"/>
    <row r="126" ht="14.25" customHeight="1" s="160"/>
    <row r="127" ht="14.25" customHeight="1" s="160"/>
    <row r="128" ht="14.25" customHeight="1" s="160"/>
    <row r="129" ht="14.25" customHeight="1" s="160"/>
    <row r="130" ht="14.25" customHeight="1" s="160"/>
    <row r="131" ht="14.25" customHeight="1" s="160"/>
    <row r="132" ht="14.25" customHeight="1" s="160"/>
    <row r="133" ht="14.25" customHeight="1" s="160"/>
    <row r="134" ht="14.25" customHeight="1" s="160"/>
    <row r="135" ht="14.25" customHeight="1" s="160"/>
    <row r="136" ht="14.25" customHeight="1" s="160"/>
    <row r="137" ht="14.25" customHeight="1" s="160"/>
    <row r="138" ht="14.25" customHeight="1" s="160"/>
    <row r="139" ht="14.25" customHeight="1" s="160"/>
    <row r="140" ht="14.25" customHeight="1" s="160"/>
    <row r="141" ht="14.25" customHeight="1" s="160"/>
    <row r="142" ht="14.25" customHeight="1" s="160"/>
    <row r="143" ht="14.25" customHeight="1" s="160"/>
    <row r="144" ht="14.25" customHeight="1" s="160"/>
    <row r="145" ht="14.25" customHeight="1" s="160"/>
    <row r="146" ht="14.25" customHeight="1" s="160"/>
    <row r="147" ht="14.25" customHeight="1" s="160"/>
    <row r="148" ht="14.25" customHeight="1" s="160"/>
    <row r="149" ht="14.25" customHeight="1" s="160"/>
    <row r="150" ht="14.25" customHeight="1" s="160"/>
    <row r="151" ht="14.25" customHeight="1" s="160"/>
    <row r="152" ht="14.25" customHeight="1" s="160"/>
    <row r="153" ht="14.25" customHeight="1" s="160"/>
    <row r="154" ht="14.25" customHeight="1" s="160"/>
    <row r="155" ht="14.25" customHeight="1" s="160"/>
    <row r="156" ht="14.25" customHeight="1" s="160"/>
    <row r="157" ht="14.25" customHeight="1" s="160"/>
    <row r="158" ht="14.25" customHeight="1" s="160"/>
    <row r="159" ht="14.25" customHeight="1" s="160"/>
    <row r="160" ht="14.25" customHeight="1" s="160"/>
    <row r="161" ht="14.25" customHeight="1" s="160"/>
    <row r="162" ht="14.25" customHeight="1" s="160"/>
    <row r="163" ht="14.25" customHeight="1" s="160"/>
    <row r="164" ht="14.25" customHeight="1" s="160"/>
    <row r="165" ht="14.25" customHeight="1" s="160"/>
    <row r="166" ht="14.25" customHeight="1" s="160"/>
    <row r="167" ht="14.25" customHeight="1" s="160"/>
    <row r="168" ht="14.25" customHeight="1" s="160"/>
    <row r="169" ht="14.25" customHeight="1" s="160"/>
    <row r="170" ht="14.25" customHeight="1" s="160"/>
    <row r="171" ht="14.25" customHeight="1" s="160"/>
    <row r="172" ht="14.25" customHeight="1" s="160"/>
    <row r="173" ht="14.25" customHeight="1" s="160"/>
    <row r="174" ht="14.25" customHeight="1" s="160"/>
    <row r="175" ht="14.25" customHeight="1" s="160"/>
    <row r="176" ht="14.25" customHeight="1" s="160"/>
    <row r="177" ht="14.25" customHeight="1" s="160"/>
    <row r="178" ht="14.25" customHeight="1" s="160"/>
    <row r="179" ht="14.25" customHeight="1" s="160"/>
    <row r="180" ht="14.25" customHeight="1" s="160"/>
    <row r="181" ht="14.25" customHeight="1" s="160"/>
    <row r="182" ht="14.25" customHeight="1" s="160"/>
    <row r="183" ht="14.25" customHeight="1" s="160"/>
    <row r="184" ht="14.25" customHeight="1" s="160"/>
    <row r="185" ht="14.25" customHeight="1" s="160"/>
    <row r="186" ht="14.25" customHeight="1" s="160"/>
    <row r="187" ht="14.25" customHeight="1" s="160"/>
    <row r="188" ht="14.25" customHeight="1" s="160"/>
    <row r="189" ht="14.25" customHeight="1" s="160"/>
    <row r="190" ht="14.25" customHeight="1" s="160"/>
    <row r="191" ht="14.25" customHeight="1" s="160"/>
    <row r="192" ht="14.25" customHeight="1" s="160"/>
    <row r="193" ht="14.25" customHeight="1" s="160"/>
    <row r="194" ht="14.25" customHeight="1" s="160"/>
    <row r="195" ht="14.25" customHeight="1" s="160"/>
    <row r="196" ht="14.25" customHeight="1" s="160"/>
    <row r="197" ht="14.25" customHeight="1" s="160"/>
    <row r="198" ht="14.25" customHeight="1" s="160"/>
    <row r="199" ht="14.25" customHeight="1" s="160"/>
    <row r="200" ht="14.25" customHeight="1" s="160"/>
    <row r="201" ht="14.25" customHeight="1" s="160"/>
    <row r="202" ht="14.25" customHeight="1" s="160"/>
    <row r="203" ht="14.25" customHeight="1" s="160"/>
    <row r="204" ht="14.25" customHeight="1" s="160"/>
    <row r="205" ht="14.25" customHeight="1" s="160"/>
    <row r="206" ht="14.25" customHeight="1" s="160"/>
    <row r="207" ht="14.25" customHeight="1" s="160"/>
    <row r="208" ht="14.25" customHeight="1" s="160"/>
    <row r="209" ht="14.25" customHeight="1" s="160"/>
    <row r="210" ht="14.25" customHeight="1" s="160"/>
    <row r="211" ht="14.25" customHeight="1" s="160"/>
    <row r="212" ht="14.25" customHeight="1" s="160"/>
    <row r="213" ht="14.25" customHeight="1" s="160"/>
    <row r="214" ht="14.25" customHeight="1" s="160"/>
    <row r="215" ht="14.25" customHeight="1" s="160"/>
    <row r="216" ht="14.25" customHeight="1" s="160"/>
    <row r="217" ht="14.25" customHeight="1" s="160"/>
    <row r="218" ht="14.25" customHeight="1" s="160"/>
    <row r="219" ht="14.25" customHeight="1" s="160"/>
    <row r="220" ht="14.25" customHeight="1" s="160"/>
    <row r="221" ht="14.25" customHeight="1" s="160"/>
    <row r="222" ht="14.25" customHeight="1" s="160"/>
    <row r="223" ht="14.25" customHeight="1" s="160"/>
    <row r="224" ht="14.25" customHeight="1" s="160"/>
    <row r="225" ht="14.25" customHeight="1" s="160"/>
    <row r="226" ht="14.25" customHeight="1" s="160"/>
    <row r="227" ht="14.25" customHeight="1" s="160"/>
    <row r="228" ht="14.25" customHeight="1" s="160"/>
    <row r="229" ht="14.25" customHeight="1" s="160"/>
    <row r="230" ht="14.25" customHeight="1" s="160"/>
    <row r="231" ht="14.25" customHeight="1" s="160"/>
    <row r="232" ht="14.25" customHeight="1" s="160"/>
    <row r="233" ht="14.25" customHeight="1" s="160"/>
    <row r="234" ht="14.25" customHeight="1" s="160"/>
    <row r="235" ht="14.25" customHeight="1" s="160"/>
    <row r="236" ht="14.25" customHeight="1" s="160"/>
    <row r="237" ht="14.25" customHeight="1" s="160"/>
    <row r="238" ht="14.25" customHeight="1" s="160"/>
    <row r="239" ht="14.25" customHeight="1" s="160"/>
    <row r="240" ht="14.25" customHeight="1" s="160"/>
    <row r="241" ht="14.25" customHeight="1" s="160"/>
    <row r="242" ht="14.25" customHeight="1" s="160"/>
    <row r="243" ht="14.25" customHeight="1" s="160"/>
    <row r="244" ht="14.25" customHeight="1" s="160"/>
    <row r="245" ht="14.25" customHeight="1" s="160"/>
    <row r="246" ht="14.25" customHeight="1" s="160"/>
    <row r="247" ht="14.25" customHeight="1" s="160"/>
    <row r="248" ht="14.25" customHeight="1" s="160"/>
    <row r="249" ht="14.25" customHeight="1" s="160"/>
    <row r="250" ht="14.25" customHeight="1" s="160"/>
    <row r="251" ht="14.25" customHeight="1" s="160"/>
    <row r="252" ht="14.25" customHeight="1" s="160"/>
    <row r="253" ht="14.25" customHeight="1" s="160"/>
    <row r="254" ht="14.25" customHeight="1" s="160"/>
    <row r="255" ht="14.25" customHeight="1" s="160"/>
    <row r="256" ht="14.25" customHeight="1" s="160"/>
    <row r="257" ht="14.25" customHeight="1" s="160"/>
    <row r="258" ht="14.25" customHeight="1" s="160"/>
    <row r="259" ht="14.25" customHeight="1" s="160"/>
    <row r="260" ht="14.25" customHeight="1" s="160"/>
    <row r="261" ht="14.25" customHeight="1" s="160"/>
    <row r="262" ht="14.25" customHeight="1" s="160"/>
    <row r="263" ht="14.25" customHeight="1" s="160"/>
    <row r="264" ht="14.25" customHeight="1" s="160"/>
    <row r="265" ht="14.25" customHeight="1" s="160"/>
    <row r="266" ht="14.25" customHeight="1" s="160"/>
    <row r="267" ht="14.25" customHeight="1" s="160"/>
    <row r="268" ht="14.25" customHeight="1" s="160"/>
    <row r="269" ht="14.25" customHeight="1" s="160"/>
    <row r="270" ht="14.25" customHeight="1" s="160"/>
    <row r="271" ht="14.25" customHeight="1" s="160"/>
    <row r="272" ht="14.25" customHeight="1" s="160"/>
    <row r="273" ht="14.25" customHeight="1" s="160"/>
    <row r="274" ht="14.25" customHeight="1" s="160"/>
    <row r="275" ht="14.25" customHeight="1" s="160"/>
    <row r="276" ht="14.25" customHeight="1" s="160"/>
    <row r="277" ht="14.25" customHeight="1" s="160"/>
    <row r="278" ht="14.25" customHeight="1" s="160"/>
    <row r="279" ht="14.25" customHeight="1" s="160"/>
    <row r="280" ht="14.25" customHeight="1" s="160"/>
    <row r="281" ht="14.25" customHeight="1" s="160"/>
    <row r="282" ht="14.25" customHeight="1" s="160"/>
    <row r="283" ht="14.25" customHeight="1" s="160"/>
    <row r="284" ht="14.25" customHeight="1" s="160"/>
    <row r="285" ht="14.25" customHeight="1" s="160"/>
    <row r="286" ht="14.25" customHeight="1" s="160"/>
    <row r="287" ht="14.25" customHeight="1" s="160"/>
    <row r="288" ht="14.25" customHeight="1" s="160"/>
    <row r="289" ht="14.25" customHeight="1" s="160"/>
    <row r="290" ht="14.25" customHeight="1" s="160"/>
    <row r="291" ht="14.25" customHeight="1" s="160"/>
    <row r="292" ht="14.25" customHeight="1" s="160"/>
    <row r="293" ht="14.25" customHeight="1" s="160"/>
    <row r="294" ht="14.25" customHeight="1" s="160"/>
    <row r="295" ht="14.25" customHeight="1" s="160"/>
    <row r="296" ht="14.25" customHeight="1" s="160"/>
    <row r="297" ht="14.25" customHeight="1" s="160"/>
    <row r="298" ht="14.25" customHeight="1" s="160"/>
    <row r="299" ht="14.25" customHeight="1" s="160"/>
    <row r="300" ht="14.25" customHeight="1" s="160"/>
    <row r="301" ht="14.25" customHeight="1" s="160"/>
    <row r="302" ht="14.25" customHeight="1" s="160"/>
    <row r="303" ht="14.25" customHeight="1" s="160"/>
    <row r="304" ht="14.25" customHeight="1" s="160"/>
    <row r="305" ht="14.25" customHeight="1" s="160"/>
    <row r="306" ht="14.25" customHeight="1" s="160"/>
    <row r="307" ht="14.25" customHeight="1" s="160"/>
    <row r="308" ht="14.25" customHeight="1" s="160"/>
    <row r="309" ht="14.25" customHeight="1" s="160"/>
    <row r="310" ht="14.25" customHeight="1" s="160"/>
    <row r="311" ht="14.25" customHeight="1" s="160"/>
    <row r="312" ht="14.25" customHeight="1" s="160"/>
    <row r="313" ht="14.25" customHeight="1" s="160"/>
    <row r="314" ht="14.25" customHeight="1" s="160"/>
    <row r="315" ht="14.25" customHeight="1" s="160"/>
    <row r="316" ht="14.25" customHeight="1" s="160"/>
    <row r="317" ht="14.25" customHeight="1" s="160"/>
    <row r="318" ht="14.25" customHeight="1" s="160"/>
    <row r="319" ht="14.25" customHeight="1" s="160"/>
    <row r="320" ht="14.25" customHeight="1" s="160"/>
    <row r="321" ht="14.25" customHeight="1" s="160"/>
    <row r="322" ht="14.25" customHeight="1" s="160"/>
    <row r="323" ht="14.25" customHeight="1" s="160"/>
    <row r="324" ht="14.25" customHeight="1" s="160"/>
    <row r="325" ht="14.25" customHeight="1" s="160"/>
    <row r="326" ht="14.25" customHeight="1" s="160"/>
    <row r="327" ht="14.25" customHeight="1" s="160"/>
    <row r="328" ht="14.25" customHeight="1" s="160"/>
    <row r="329" ht="14.25" customHeight="1" s="160"/>
    <row r="330" ht="14.25" customHeight="1" s="160"/>
    <row r="331" ht="14.25" customHeight="1" s="160"/>
    <row r="332" ht="14.25" customHeight="1" s="160"/>
    <row r="333" ht="14.25" customHeight="1" s="160"/>
    <row r="334" ht="14.25" customHeight="1" s="160"/>
    <row r="335" ht="14.25" customHeight="1" s="160"/>
    <row r="336" ht="14.25" customHeight="1" s="160"/>
    <row r="337" ht="14.25" customHeight="1" s="160"/>
    <row r="338" ht="14.25" customHeight="1" s="160"/>
    <row r="339" ht="14.25" customHeight="1" s="160"/>
    <row r="340" ht="14.25" customHeight="1" s="160"/>
    <row r="341" ht="14.25" customHeight="1" s="160"/>
    <row r="342" ht="14.25" customHeight="1" s="160"/>
    <row r="343" ht="14.25" customHeight="1" s="160"/>
    <row r="344" ht="14.25" customHeight="1" s="160"/>
    <row r="345" ht="14.25" customHeight="1" s="160"/>
    <row r="346" ht="14.25" customHeight="1" s="160"/>
    <row r="347" ht="14.25" customHeight="1" s="160"/>
    <row r="348" ht="14.25" customHeight="1" s="160"/>
    <row r="349" ht="14.25" customHeight="1" s="160"/>
    <row r="350" ht="14.25" customHeight="1" s="160"/>
    <row r="351" ht="14.25" customHeight="1" s="160"/>
    <row r="352" ht="14.25" customHeight="1" s="160"/>
    <row r="353" ht="14.25" customHeight="1" s="160"/>
    <row r="354" ht="14.25" customHeight="1" s="160"/>
    <row r="355" ht="14.25" customHeight="1" s="160"/>
    <row r="356" ht="14.25" customHeight="1" s="160"/>
    <row r="357" ht="14.25" customHeight="1" s="160"/>
    <row r="358" ht="14.25" customHeight="1" s="160"/>
    <row r="359" ht="14.25" customHeight="1" s="160"/>
    <row r="360" ht="14.25" customHeight="1" s="160"/>
    <row r="361" ht="14.25" customHeight="1" s="160"/>
    <row r="362" ht="14.25" customHeight="1" s="160"/>
    <row r="363" ht="14.25" customHeight="1" s="160"/>
    <row r="364" ht="14.25" customHeight="1" s="160"/>
    <row r="365" ht="14.25" customHeight="1" s="160"/>
    <row r="366" ht="14.25" customHeight="1" s="160"/>
    <row r="367" ht="14.25" customHeight="1" s="160"/>
    <row r="368" ht="14.25" customHeight="1" s="160"/>
    <row r="369" ht="14.25" customHeight="1" s="160"/>
    <row r="370" ht="14.25" customHeight="1" s="160"/>
    <row r="371" ht="14.25" customHeight="1" s="160"/>
    <row r="372" ht="14.25" customHeight="1" s="160"/>
    <row r="373" ht="14.25" customHeight="1" s="160"/>
    <row r="374" ht="14.25" customHeight="1" s="160"/>
    <row r="375" ht="14.25" customHeight="1" s="160"/>
    <row r="376" ht="14.25" customHeight="1" s="160"/>
    <row r="377" ht="14.25" customHeight="1" s="160"/>
    <row r="378" ht="14.25" customHeight="1" s="160"/>
    <row r="379" ht="14.25" customHeight="1" s="160"/>
    <row r="380" ht="14.25" customHeight="1" s="160"/>
    <row r="381" ht="14.25" customHeight="1" s="160"/>
    <row r="382" ht="14.25" customHeight="1" s="160"/>
    <row r="383" ht="14.25" customHeight="1" s="160"/>
    <row r="384" ht="14.25" customHeight="1" s="160"/>
    <row r="385" ht="14.25" customHeight="1" s="160"/>
    <row r="386" ht="14.25" customHeight="1" s="160"/>
    <row r="387" ht="14.25" customHeight="1" s="160"/>
    <row r="388" ht="14.25" customHeight="1" s="160"/>
    <row r="389" ht="14.25" customHeight="1" s="160"/>
    <row r="390" ht="14.25" customHeight="1" s="160"/>
    <row r="391" ht="14.25" customHeight="1" s="160"/>
    <row r="392" ht="14.25" customHeight="1" s="160"/>
    <row r="393" ht="14.25" customHeight="1" s="160"/>
    <row r="394" ht="14.25" customHeight="1" s="160"/>
    <row r="395" ht="14.25" customHeight="1" s="160"/>
    <row r="396" ht="14.25" customHeight="1" s="160"/>
    <row r="397" ht="14.25" customHeight="1" s="160"/>
    <row r="398" ht="14.25" customHeight="1" s="160"/>
    <row r="399" ht="14.25" customHeight="1" s="160"/>
    <row r="400" ht="14.25" customHeight="1" s="160"/>
    <row r="401" ht="14.25" customHeight="1" s="160"/>
    <row r="402" ht="14.25" customHeight="1" s="160"/>
    <row r="403" ht="14.25" customHeight="1" s="160"/>
    <row r="404" ht="14.25" customHeight="1" s="160"/>
    <row r="405" ht="14.25" customHeight="1" s="160"/>
    <row r="406" ht="14.25" customHeight="1" s="160"/>
    <row r="407" ht="14.25" customHeight="1" s="160"/>
    <row r="408" ht="14.25" customHeight="1" s="160"/>
    <row r="409" ht="14.25" customHeight="1" s="160"/>
    <row r="410" ht="14.25" customHeight="1" s="160"/>
    <row r="411" ht="14.25" customHeight="1" s="160"/>
    <row r="412" ht="14.25" customHeight="1" s="160"/>
    <row r="413" ht="14.25" customHeight="1" s="160"/>
    <row r="414" ht="14.25" customHeight="1" s="160"/>
    <row r="415" ht="14.25" customHeight="1" s="160"/>
    <row r="416" ht="14.25" customHeight="1" s="160"/>
    <row r="417" ht="14.25" customHeight="1" s="160"/>
    <row r="418" ht="14.25" customHeight="1" s="160"/>
    <row r="419" ht="14.25" customHeight="1" s="160"/>
    <row r="420" ht="14.25" customHeight="1" s="160"/>
    <row r="421" ht="14.25" customHeight="1" s="160"/>
    <row r="422" ht="14.25" customHeight="1" s="160"/>
    <row r="423" ht="14.25" customHeight="1" s="160"/>
    <row r="424" ht="14.25" customHeight="1" s="160"/>
    <row r="425" ht="14.25" customHeight="1" s="160"/>
    <row r="426" ht="14.25" customHeight="1" s="160"/>
    <row r="427" ht="14.25" customHeight="1" s="160"/>
    <row r="428" ht="14.25" customHeight="1" s="160"/>
    <row r="429" ht="14.25" customHeight="1" s="160"/>
    <row r="430" ht="14.25" customHeight="1" s="160"/>
    <row r="431" ht="14.25" customHeight="1" s="160"/>
    <row r="432" ht="14.25" customHeight="1" s="160"/>
    <row r="433" ht="14.25" customHeight="1" s="160"/>
    <row r="434" ht="14.25" customHeight="1" s="160"/>
    <row r="435" ht="14.25" customHeight="1" s="160"/>
    <row r="436" ht="14.25" customHeight="1" s="160"/>
    <row r="437" ht="14.25" customHeight="1" s="160"/>
    <row r="438" ht="14.25" customHeight="1" s="160"/>
    <row r="439" ht="14.25" customHeight="1" s="160"/>
    <row r="440" ht="14.25" customHeight="1" s="160"/>
    <row r="441" ht="14.25" customHeight="1" s="160"/>
    <row r="442" ht="14.25" customHeight="1" s="160"/>
    <row r="443" ht="14.25" customHeight="1" s="160"/>
    <row r="444" ht="14.25" customHeight="1" s="160"/>
    <row r="445" ht="14.25" customHeight="1" s="160"/>
    <row r="446" ht="14.25" customHeight="1" s="160"/>
    <row r="447" ht="14.25" customHeight="1" s="160"/>
    <row r="448" ht="14.25" customHeight="1" s="160"/>
    <row r="449" ht="14.25" customHeight="1" s="160"/>
    <row r="450" ht="14.25" customHeight="1" s="160"/>
    <row r="451" ht="14.25" customHeight="1" s="160"/>
    <row r="452" ht="14.25" customHeight="1" s="160"/>
    <row r="453" ht="14.25" customHeight="1" s="160"/>
    <row r="454" ht="14.25" customHeight="1" s="160"/>
    <row r="455" ht="14.25" customHeight="1" s="160"/>
    <row r="456" ht="14.25" customHeight="1" s="160"/>
    <row r="457" ht="14.25" customHeight="1" s="160"/>
    <row r="458" ht="14.25" customHeight="1" s="160"/>
    <row r="459" ht="14.25" customHeight="1" s="160"/>
    <row r="460" ht="14.25" customHeight="1" s="160"/>
    <row r="461" ht="14.25" customHeight="1" s="160"/>
    <row r="462" ht="14.25" customHeight="1" s="160"/>
    <row r="463" ht="14.25" customHeight="1" s="160"/>
    <row r="464" ht="14.25" customHeight="1" s="160"/>
    <row r="465" ht="14.25" customHeight="1" s="160"/>
    <row r="466" ht="14.25" customHeight="1" s="160"/>
    <row r="467" ht="14.25" customHeight="1" s="160"/>
    <row r="468" ht="14.25" customHeight="1" s="160"/>
    <row r="469" ht="14.25" customHeight="1" s="160"/>
    <row r="470" ht="14.25" customHeight="1" s="160"/>
    <row r="471" ht="14.25" customHeight="1" s="160"/>
    <row r="472" ht="14.25" customHeight="1" s="160"/>
    <row r="473" ht="14.25" customHeight="1" s="160"/>
    <row r="474" ht="14.25" customHeight="1" s="160"/>
    <row r="475" ht="14.25" customHeight="1" s="160"/>
    <row r="476" ht="14.25" customHeight="1" s="160"/>
    <row r="477" ht="14.25" customHeight="1" s="160"/>
    <row r="478" ht="14.25" customHeight="1" s="160"/>
    <row r="479" ht="14.25" customHeight="1" s="160"/>
    <row r="480" ht="14.25" customHeight="1" s="160"/>
    <row r="481" ht="14.25" customHeight="1" s="160"/>
    <row r="482" ht="14.25" customHeight="1" s="160"/>
    <row r="483" ht="14.25" customHeight="1" s="160"/>
    <row r="484" ht="14.25" customHeight="1" s="160"/>
    <row r="485" ht="14.25" customHeight="1" s="160"/>
    <row r="486" ht="14.25" customHeight="1" s="160"/>
    <row r="487" ht="14.25" customHeight="1" s="160"/>
    <row r="488" ht="14.25" customHeight="1" s="160"/>
    <row r="489" ht="14.25" customHeight="1" s="160"/>
    <row r="490" ht="14.25" customHeight="1" s="160"/>
    <row r="491" ht="14.25" customHeight="1" s="160"/>
    <row r="492" ht="14.25" customHeight="1" s="160"/>
    <row r="493" ht="14.25" customHeight="1" s="160"/>
    <row r="494" ht="14.25" customHeight="1" s="160"/>
    <row r="495" ht="14.25" customHeight="1" s="160"/>
    <row r="496" ht="14.25" customHeight="1" s="160"/>
    <row r="497" ht="14.25" customHeight="1" s="160"/>
    <row r="498" ht="14.25" customHeight="1" s="160"/>
    <row r="499" ht="14.25" customHeight="1" s="160"/>
    <row r="500" ht="14.25" customHeight="1" s="160"/>
    <row r="501" ht="14.25" customHeight="1" s="160"/>
    <row r="502" ht="14.25" customHeight="1" s="160"/>
    <row r="503" ht="14.25" customHeight="1" s="160"/>
    <row r="504" ht="14.25" customHeight="1" s="160"/>
    <row r="505" ht="14.25" customHeight="1" s="160"/>
    <row r="506" ht="14.25" customHeight="1" s="160"/>
    <row r="507" ht="14.25" customHeight="1" s="160"/>
    <row r="508" ht="14.25" customHeight="1" s="160"/>
    <row r="509" ht="14.25" customHeight="1" s="160"/>
    <row r="510" ht="14.25" customHeight="1" s="160"/>
    <row r="511" ht="14.25" customHeight="1" s="160"/>
    <row r="512" ht="14.25" customHeight="1" s="160"/>
    <row r="513" ht="14.25" customHeight="1" s="160"/>
    <row r="514" ht="14.25" customHeight="1" s="160"/>
    <row r="515" ht="14.25" customHeight="1" s="160"/>
    <row r="516" ht="14.25" customHeight="1" s="160"/>
    <row r="517" ht="14.25" customHeight="1" s="160"/>
    <row r="518" ht="14.25" customHeight="1" s="160"/>
    <row r="519" ht="14.25" customHeight="1" s="160"/>
    <row r="520" ht="14.25" customHeight="1" s="160"/>
    <row r="521" ht="14.25" customHeight="1" s="160"/>
    <row r="522" ht="14.25" customHeight="1" s="160"/>
    <row r="523" ht="14.25" customHeight="1" s="160"/>
    <row r="524" ht="14.25" customHeight="1" s="160"/>
    <row r="525" ht="14.25" customHeight="1" s="160"/>
    <row r="526" ht="14.25" customHeight="1" s="160"/>
    <row r="527" ht="14.25" customHeight="1" s="160"/>
    <row r="528" ht="14.25" customHeight="1" s="160"/>
    <row r="529" ht="14.25" customHeight="1" s="160"/>
    <row r="530" ht="14.25" customHeight="1" s="160"/>
    <row r="531" ht="14.25" customHeight="1" s="160"/>
    <row r="532" ht="14.25" customHeight="1" s="160"/>
    <row r="533" ht="14.25" customHeight="1" s="160"/>
    <row r="534" ht="14.25" customHeight="1" s="160"/>
    <row r="535" ht="14.25" customHeight="1" s="160"/>
    <row r="536" ht="14.25" customHeight="1" s="160"/>
    <row r="537" ht="14.25" customHeight="1" s="160"/>
    <row r="538" ht="14.25" customHeight="1" s="160"/>
    <row r="539" ht="14.25" customHeight="1" s="160"/>
    <row r="540" ht="14.25" customHeight="1" s="160"/>
    <row r="541" ht="14.25" customHeight="1" s="160"/>
    <row r="542" ht="14.25" customHeight="1" s="160"/>
    <row r="543" ht="14.25" customHeight="1" s="160"/>
    <row r="544" ht="14.25" customHeight="1" s="160"/>
    <row r="545" ht="14.25" customHeight="1" s="160"/>
    <row r="546" ht="14.25" customHeight="1" s="160"/>
    <row r="547" ht="14.25" customHeight="1" s="160"/>
    <row r="548" ht="14.25" customHeight="1" s="160"/>
    <row r="549" ht="14.25" customHeight="1" s="160"/>
    <row r="550" ht="14.25" customHeight="1" s="160"/>
    <row r="551" ht="14.25" customHeight="1" s="160"/>
    <row r="552" ht="14.25" customHeight="1" s="160"/>
    <row r="553" ht="14.25" customHeight="1" s="160"/>
    <row r="554" ht="14.25" customHeight="1" s="160"/>
    <row r="555" ht="14.25" customHeight="1" s="160"/>
    <row r="556" ht="14.25" customHeight="1" s="160"/>
    <row r="557" ht="14.25" customHeight="1" s="160"/>
    <row r="558" ht="14.25" customHeight="1" s="160"/>
    <row r="559" ht="14.25" customHeight="1" s="160"/>
    <row r="560" ht="14.25" customHeight="1" s="160"/>
    <row r="561" ht="14.25" customHeight="1" s="160"/>
    <row r="562" ht="14.25" customHeight="1" s="160"/>
    <row r="563" ht="14.25" customHeight="1" s="160"/>
    <row r="564" ht="14.25" customHeight="1" s="160"/>
    <row r="565" ht="14.25" customHeight="1" s="160"/>
    <row r="566" ht="14.25" customHeight="1" s="160"/>
    <row r="567" ht="14.25" customHeight="1" s="160"/>
    <row r="568" ht="14.25" customHeight="1" s="160"/>
    <row r="569" ht="14.25" customHeight="1" s="160"/>
    <row r="570" ht="14.25" customHeight="1" s="160"/>
    <row r="571" ht="14.25" customHeight="1" s="160"/>
    <row r="572" ht="14.25" customHeight="1" s="160"/>
    <row r="573" ht="14.25" customHeight="1" s="160"/>
    <row r="574" ht="14.25" customHeight="1" s="160"/>
    <row r="575" ht="14.25" customHeight="1" s="160"/>
    <row r="576" ht="14.25" customHeight="1" s="160"/>
    <row r="577" ht="14.25" customHeight="1" s="160"/>
    <row r="578" ht="14.25" customHeight="1" s="160"/>
    <row r="579" ht="14.25" customHeight="1" s="160"/>
    <row r="580" ht="14.25" customHeight="1" s="160"/>
    <row r="581" ht="14.25" customHeight="1" s="160"/>
    <row r="582" ht="14.25" customHeight="1" s="160"/>
    <row r="583" ht="14.25" customHeight="1" s="160"/>
    <row r="584" ht="14.25" customHeight="1" s="160"/>
    <row r="585" ht="14.25" customHeight="1" s="160"/>
    <row r="586" ht="14.25" customHeight="1" s="160"/>
    <row r="587" ht="14.25" customHeight="1" s="160"/>
    <row r="588" ht="14.25" customHeight="1" s="160"/>
    <row r="589" ht="14.25" customHeight="1" s="160"/>
    <row r="590" ht="14.25" customHeight="1" s="160"/>
    <row r="591" ht="14.25" customHeight="1" s="160"/>
    <row r="592" ht="14.25" customHeight="1" s="160"/>
    <row r="593" ht="14.25" customHeight="1" s="160"/>
    <row r="594" ht="14.25" customHeight="1" s="160"/>
    <row r="595" ht="14.25" customHeight="1" s="160"/>
    <row r="596" ht="14.25" customHeight="1" s="160"/>
    <row r="597" ht="14.25" customHeight="1" s="160"/>
    <row r="598" ht="14.25" customHeight="1" s="160"/>
    <row r="599" ht="14.25" customHeight="1" s="160"/>
    <row r="600" ht="14.25" customHeight="1" s="160"/>
    <row r="601" ht="14.25" customHeight="1" s="160"/>
    <row r="602" ht="14.25" customHeight="1" s="160"/>
    <row r="603" ht="14.25" customHeight="1" s="160"/>
    <row r="604" ht="14.25" customHeight="1" s="160"/>
    <row r="605" ht="14.25" customHeight="1" s="160"/>
    <row r="606" ht="14.25" customHeight="1" s="160"/>
    <row r="607" ht="14.25" customHeight="1" s="160"/>
    <row r="608" ht="14.25" customHeight="1" s="160"/>
    <row r="609" ht="14.25" customHeight="1" s="160"/>
    <row r="610" ht="14.25" customHeight="1" s="160"/>
    <row r="611" ht="14.25" customHeight="1" s="160"/>
    <row r="612" ht="14.25" customHeight="1" s="160"/>
    <row r="613" ht="14.25" customHeight="1" s="160"/>
    <row r="614" ht="14.25" customHeight="1" s="160"/>
    <row r="615" ht="14.25" customHeight="1" s="160"/>
    <row r="616" ht="14.25" customHeight="1" s="160"/>
    <row r="617" ht="14.25" customHeight="1" s="160"/>
    <row r="618" ht="14.25" customHeight="1" s="160"/>
    <row r="619" ht="14.25" customHeight="1" s="160"/>
    <row r="620" ht="14.25" customHeight="1" s="160"/>
    <row r="621" ht="14.25" customHeight="1" s="160"/>
    <row r="622" ht="14.25" customHeight="1" s="160"/>
    <row r="623" ht="14.25" customHeight="1" s="160"/>
    <row r="624" ht="14.25" customHeight="1" s="160"/>
    <row r="625" ht="14.25" customHeight="1" s="160"/>
    <row r="626" ht="14.25" customHeight="1" s="160"/>
    <row r="627" ht="14.25" customHeight="1" s="160"/>
    <row r="628" ht="14.25" customHeight="1" s="160"/>
    <row r="629" ht="14.25" customHeight="1" s="160"/>
    <row r="630" ht="14.25" customHeight="1" s="160"/>
    <row r="631" ht="14.25" customHeight="1" s="160"/>
    <row r="632" ht="14.25" customHeight="1" s="160"/>
    <row r="633" ht="14.25" customHeight="1" s="160"/>
    <row r="634" ht="14.25" customHeight="1" s="160"/>
    <row r="635" ht="14.25" customHeight="1" s="160"/>
    <row r="636" ht="14.25" customHeight="1" s="160"/>
    <row r="637" ht="14.25" customHeight="1" s="160"/>
    <row r="638" ht="14.25" customHeight="1" s="160"/>
    <row r="639" ht="14.25" customHeight="1" s="160"/>
    <row r="640" ht="14.25" customHeight="1" s="160"/>
    <row r="641" ht="14.25" customHeight="1" s="160"/>
    <row r="642" ht="14.25" customHeight="1" s="160"/>
    <row r="643" ht="14.25" customHeight="1" s="160"/>
    <row r="644" ht="14.25" customHeight="1" s="160"/>
    <row r="645" ht="14.25" customHeight="1" s="160"/>
    <row r="646" ht="14.25" customHeight="1" s="160"/>
    <row r="647" ht="14.25" customHeight="1" s="160"/>
    <row r="648" ht="14.25" customHeight="1" s="160"/>
    <row r="649" ht="14.25" customHeight="1" s="160"/>
    <row r="650" ht="14.25" customHeight="1" s="160"/>
    <row r="651" ht="14.25" customHeight="1" s="160"/>
    <row r="652" ht="14.25" customHeight="1" s="160"/>
    <row r="653" ht="14.25" customHeight="1" s="160"/>
    <row r="654" ht="14.25" customHeight="1" s="160"/>
    <row r="655" ht="14.25" customHeight="1" s="160"/>
    <row r="656" ht="14.25" customHeight="1" s="160"/>
    <row r="657" ht="14.25" customHeight="1" s="160"/>
    <row r="658" ht="14.25" customHeight="1" s="160"/>
    <row r="659" ht="14.25" customHeight="1" s="160"/>
    <row r="660" ht="14.25" customHeight="1" s="160"/>
    <row r="661" ht="14.25" customHeight="1" s="160"/>
    <row r="662" ht="14.25" customHeight="1" s="160"/>
    <row r="663" ht="14.25" customHeight="1" s="160"/>
    <row r="664" ht="14.25" customHeight="1" s="160"/>
    <row r="665" ht="14.25" customHeight="1" s="160"/>
    <row r="666" ht="14.25" customHeight="1" s="160"/>
    <row r="667" ht="14.25" customHeight="1" s="160"/>
    <row r="668" ht="14.25" customHeight="1" s="160"/>
    <row r="669" ht="14.25" customHeight="1" s="160"/>
    <row r="670" ht="14.25" customHeight="1" s="160"/>
    <row r="671" ht="14.25" customHeight="1" s="160"/>
    <row r="672" ht="14.25" customHeight="1" s="160"/>
    <row r="673" ht="14.25" customHeight="1" s="160"/>
    <row r="674" ht="14.25" customHeight="1" s="160"/>
    <row r="675" ht="14.25" customHeight="1" s="160"/>
    <row r="676" ht="14.25" customHeight="1" s="160"/>
    <row r="677" ht="14.25" customHeight="1" s="160"/>
    <row r="678" ht="14.25" customHeight="1" s="160"/>
    <row r="679" ht="14.25" customHeight="1" s="160"/>
    <row r="680" ht="14.25" customHeight="1" s="160"/>
    <row r="681" ht="14.25" customHeight="1" s="160"/>
    <row r="682" ht="14.25" customHeight="1" s="160"/>
    <row r="683" ht="14.25" customHeight="1" s="160"/>
    <row r="684" ht="14.25" customHeight="1" s="160"/>
    <row r="685" ht="14.25" customHeight="1" s="160"/>
    <row r="686" ht="14.25" customHeight="1" s="160"/>
    <row r="687" ht="14.25" customHeight="1" s="160"/>
    <row r="688" ht="14.25" customHeight="1" s="160"/>
    <row r="689" ht="14.25" customHeight="1" s="160"/>
    <row r="690" ht="14.25" customHeight="1" s="160"/>
    <row r="691" ht="14.25" customHeight="1" s="160"/>
    <row r="692" ht="14.25" customHeight="1" s="160"/>
    <row r="693" ht="14.25" customHeight="1" s="160"/>
    <row r="694" ht="14.25" customHeight="1" s="160"/>
    <row r="695" ht="14.25" customHeight="1" s="160"/>
    <row r="696" ht="14.25" customHeight="1" s="160"/>
    <row r="697" ht="14.25" customHeight="1" s="160"/>
    <row r="698" ht="14.25" customHeight="1" s="160"/>
    <row r="699" ht="14.25" customHeight="1" s="160"/>
    <row r="700" ht="14.25" customHeight="1" s="160"/>
    <row r="701" ht="14.25" customHeight="1" s="160"/>
    <row r="702" ht="14.25" customHeight="1" s="160"/>
    <row r="703" ht="14.25" customHeight="1" s="160"/>
    <row r="704" ht="14.25" customHeight="1" s="160"/>
    <row r="705" ht="14.25" customHeight="1" s="160"/>
    <row r="706" ht="14.25" customHeight="1" s="160"/>
    <row r="707" ht="14.25" customHeight="1" s="160"/>
    <row r="708" ht="14.25" customHeight="1" s="160"/>
    <row r="709" ht="14.25" customHeight="1" s="160"/>
    <row r="710" ht="14.25" customHeight="1" s="160"/>
    <row r="711" ht="14.25" customHeight="1" s="160"/>
    <row r="712" ht="14.25" customHeight="1" s="160"/>
    <row r="713" ht="14.25" customHeight="1" s="160"/>
    <row r="714" ht="14.25" customHeight="1" s="160"/>
    <row r="715" ht="14.25" customHeight="1" s="160"/>
    <row r="716" ht="14.25" customHeight="1" s="160"/>
    <row r="717" ht="14.25" customHeight="1" s="160"/>
    <row r="718" ht="14.25" customHeight="1" s="160"/>
    <row r="719" ht="14.25" customHeight="1" s="160"/>
    <row r="720" ht="14.25" customHeight="1" s="160"/>
    <row r="721" ht="14.25" customHeight="1" s="160"/>
    <row r="722" ht="14.25" customHeight="1" s="160"/>
    <row r="723" ht="14.25" customHeight="1" s="160"/>
    <row r="724" ht="14.25" customHeight="1" s="160"/>
    <row r="725" ht="14.25" customHeight="1" s="160"/>
    <row r="726" ht="14.25" customHeight="1" s="160"/>
    <row r="727" ht="14.25" customHeight="1" s="160"/>
    <row r="728" ht="14.25" customHeight="1" s="160"/>
    <row r="729" ht="14.25" customHeight="1" s="160"/>
    <row r="730" ht="14.25" customHeight="1" s="160"/>
    <row r="731" ht="14.25" customHeight="1" s="160"/>
    <row r="732" ht="14.25" customHeight="1" s="160"/>
    <row r="733" ht="14.25" customHeight="1" s="160"/>
    <row r="734" ht="14.25" customHeight="1" s="160"/>
    <row r="735" ht="14.25" customHeight="1" s="160"/>
    <row r="736" ht="14.25" customHeight="1" s="160"/>
    <row r="737" ht="14.25" customHeight="1" s="160"/>
    <row r="738" ht="14.25" customHeight="1" s="160"/>
    <row r="739" ht="14.25" customHeight="1" s="160"/>
    <row r="740" ht="14.25" customHeight="1" s="160"/>
    <row r="741" ht="14.25" customHeight="1" s="160"/>
    <row r="742" ht="14.25" customHeight="1" s="160"/>
    <row r="743" ht="14.25" customHeight="1" s="160"/>
    <row r="744" ht="14.25" customHeight="1" s="160"/>
    <row r="745" ht="14.25" customHeight="1" s="160"/>
    <row r="746" ht="14.25" customHeight="1" s="160"/>
    <row r="747" ht="14.25" customHeight="1" s="160"/>
    <row r="748" ht="14.25" customHeight="1" s="160"/>
    <row r="749" ht="14.25" customHeight="1" s="160"/>
    <row r="750" ht="14.25" customHeight="1" s="160"/>
    <row r="751" ht="14.25" customHeight="1" s="160"/>
    <row r="752" ht="14.25" customHeight="1" s="160"/>
    <row r="753" ht="14.25" customHeight="1" s="160"/>
    <row r="754" ht="14.25" customHeight="1" s="160"/>
    <row r="755" ht="14.25" customHeight="1" s="160"/>
    <row r="756" ht="14.25" customHeight="1" s="160"/>
    <row r="757" ht="14.25" customHeight="1" s="160"/>
    <row r="758" ht="14.25" customHeight="1" s="160"/>
    <row r="759" ht="14.25" customHeight="1" s="160"/>
    <row r="760" ht="14.25" customHeight="1" s="160"/>
    <row r="761" ht="14.25" customHeight="1" s="160"/>
    <row r="762" ht="14.25" customHeight="1" s="160"/>
    <row r="763" ht="14.25" customHeight="1" s="160"/>
    <row r="764" ht="14.25" customHeight="1" s="160"/>
    <row r="765" ht="14.25" customHeight="1" s="160"/>
    <row r="766" ht="14.25" customHeight="1" s="160"/>
    <row r="767" ht="14.25" customHeight="1" s="160"/>
    <row r="768" ht="14.25" customHeight="1" s="160"/>
    <row r="769" ht="14.25" customHeight="1" s="160"/>
    <row r="770" ht="14.25" customHeight="1" s="160"/>
    <row r="771" ht="14.25" customHeight="1" s="160"/>
    <row r="772" ht="14.25" customHeight="1" s="160"/>
    <row r="773" ht="14.25" customHeight="1" s="160"/>
    <row r="774" ht="14.25" customHeight="1" s="160"/>
    <row r="775" ht="14.25" customHeight="1" s="160"/>
    <row r="776" ht="14.25" customHeight="1" s="160"/>
    <row r="777" ht="14.25" customHeight="1" s="160"/>
    <row r="778" ht="14.25" customHeight="1" s="160"/>
    <row r="779" ht="14.25" customHeight="1" s="160"/>
    <row r="780" ht="14.25" customHeight="1" s="160"/>
    <row r="781" ht="14.25" customHeight="1" s="160"/>
    <row r="782" ht="14.25" customHeight="1" s="160"/>
    <row r="783" ht="14.25" customHeight="1" s="160"/>
    <row r="784" ht="14.25" customHeight="1" s="160"/>
    <row r="785" ht="14.25" customHeight="1" s="160"/>
    <row r="786" ht="14.25" customHeight="1" s="160"/>
    <row r="787" ht="14.25" customHeight="1" s="160"/>
    <row r="788" ht="14.25" customHeight="1" s="160"/>
    <row r="789" ht="14.25" customHeight="1" s="160"/>
    <row r="790" ht="14.25" customHeight="1" s="160"/>
    <row r="791" ht="14.25" customHeight="1" s="160"/>
    <row r="792" ht="14.25" customHeight="1" s="160"/>
    <row r="793" ht="14.25" customHeight="1" s="160"/>
    <row r="794" ht="14.25" customHeight="1" s="160"/>
    <row r="795" ht="14.25" customHeight="1" s="160"/>
    <row r="796" ht="14.25" customHeight="1" s="160"/>
    <row r="797" ht="14.25" customHeight="1" s="160"/>
    <row r="798" ht="14.25" customHeight="1" s="160"/>
    <row r="799" ht="14.25" customHeight="1" s="160"/>
    <row r="800" ht="14.25" customHeight="1" s="160"/>
    <row r="801" ht="14.25" customHeight="1" s="160"/>
    <row r="802" ht="14.25" customHeight="1" s="160"/>
    <row r="803" ht="14.25" customHeight="1" s="160"/>
    <row r="804" ht="14.25" customHeight="1" s="160"/>
    <row r="805" ht="14.25" customHeight="1" s="160"/>
    <row r="806" ht="14.25" customHeight="1" s="160"/>
    <row r="807" ht="14.25" customHeight="1" s="160"/>
    <row r="808" ht="14.25" customHeight="1" s="160"/>
    <row r="809" ht="14.25" customHeight="1" s="160"/>
    <row r="810" ht="14.25" customHeight="1" s="160"/>
    <row r="811" ht="14.25" customHeight="1" s="160"/>
    <row r="812" ht="14.25" customHeight="1" s="160"/>
    <row r="813" ht="14.25" customHeight="1" s="160"/>
    <row r="814" ht="14.25" customHeight="1" s="160"/>
    <row r="815" ht="14.25" customHeight="1" s="160"/>
    <row r="816" ht="14.25" customHeight="1" s="160"/>
    <row r="817" ht="14.25" customHeight="1" s="160"/>
    <row r="818" ht="14.25" customHeight="1" s="160"/>
    <row r="819" ht="14.25" customHeight="1" s="160"/>
    <row r="820" ht="14.25" customHeight="1" s="160"/>
    <row r="821" ht="14.25" customHeight="1" s="160"/>
    <row r="822" ht="14.25" customHeight="1" s="160"/>
    <row r="823" ht="14.25" customHeight="1" s="160"/>
    <row r="824" ht="14.25" customHeight="1" s="160"/>
    <row r="825" ht="14.25" customHeight="1" s="160"/>
    <row r="826" ht="14.25" customHeight="1" s="160"/>
    <row r="827" ht="14.25" customHeight="1" s="160"/>
    <row r="828" ht="14.25" customHeight="1" s="160"/>
    <row r="829" ht="14.25" customHeight="1" s="160"/>
    <row r="830" ht="14.25" customHeight="1" s="160"/>
    <row r="831" ht="14.25" customHeight="1" s="160"/>
    <row r="832" ht="14.25" customHeight="1" s="160"/>
    <row r="833" ht="14.25" customHeight="1" s="160"/>
    <row r="834" ht="14.25" customHeight="1" s="160"/>
    <row r="835" ht="14.25" customHeight="1" s="160"/>
    <row r="836" ht="14.25" customHeight="1" s="160"/>
    <row r="837" ht="14.25" customHeight="1" s="160"/>
    <row r="838" ht="14.25" customHeight="1" s="160"/>
    <row r="839" ht="14.25" customHeight="1" s="160"/>
    <row r="840" ht="14.25" customHeight="1" s="160"/>
    <row r="841" ht="14.25" customHeight="1" s="160"/>
    <row r="842" ht="14.25" customHeight="1" s="160"/>
    <row r="843" ht="14.25" customHeight="1" s="160"/>
    <row r="844" ht="14.25" customHeight="1" s="160"/>
    <row r="845" ht="14.25" customHeight="1" s="160"/>
    <row r="846" ht="14.25" customHeight="1" s="160"/>
    <row r="847" ht="14.25" customHeight="1" s="160"/>
    <row r="848" ht="14.25" customHeight="1" s="160"/>
    <row r="849" ht="14.25" customHeight="1" s="160"/>
    <row r="850" ht="14.25" customHeight="1" s="160"/>
    <row r="851" ht="14.25" customHeight="1" s="160"/>
    <row r="852" ht="14.25" customHeight="1" s="160"/>
    <row r="853" ht="14.25" customHeight="1" s="160"/>
    <row r="854" ht="14.25" customHeight="1" s="160"/>
    <row r="855" ht="14.25" customHeight="1" s="160"/>
    <row r="856" ht="14.25" customHeight="1" s="160"/>
    <row r="857" ht="14.25" customHeight="1" s="160"/>
    <row r="858" ht="14.25" customHeight="1" s="160"/>
    <row r="859" ht="14.25" customHeight="1" s="160"/>
    <row r="860" ht="14.25" customHeight="1" s="160"/>
    <row r="861" ht="14.25" customHeight="1" s="160"/>
    <row r="862" ht="14.25" customHeight="1" s="160"/>
    <row r="863" ht="14.25" customHeight="1" s="160"/>
    <row r="864" ht="14.25" customHeight="1" s="160"/>
    <row r="865" ht="14.25" customHeight="1" s="160"/>
    <row r="866" ht="14.25" customHeight="1" s="160"/>
    <row r="867" ht="14.25" customHeight="1" s="160"/>
    <row r="868" ht="14.25" customHeight="1" s="160"/>
    <row r="869" ht="14.25" customHeight="1" s="160"/>
    <row r="870" ht="14.25" customHeight="1" s="160"/>
    <row r="871" ht="14.25" customHeight="1" s="160"/>
    <row r="872" ht="14.25" customHeight="1" s="160"/>
    <row r="873" ht="14.25" customHeight="1" s="160"/>
    <row r="874" ht="14.25" customHeight="1" s="160"/>
    <row r="875" ht="14.25" customHeight="1" s="160"/>
    <row r="876" ht="14.25" customHeight="1" s="160"/>
    <row r="877" ht="14.25" customHeight="1" s="160"/>
    <row r="878" ht="14.25" customHeight="1" s="160"/>
    <row r="879" ht="14.25" customHeight="1" s="160"/>
    <row r="880" ht="14.25" customHeight="1" s="160"/>
    <row r="881" ht="14.25" customHeight="1" s="160"/>
    <row r="882" ht="14.25" customHeight="1" s="160"/>
    <row r="883" ht="14.25" customHeight="1" s="160"/>
    <row r="884" ht="14.25" customHeight="1" s="160"/>
    <row r="885" ht="14.25" customHeight="1" s="160"/>
    <row r="886" ht="14.25" customHeight="1" s="160"/>
    <row r="887" ht="14.25" customHeight="1" s="160"/>
    <row r="888" ht="14.25" customHeight="1" s="160"/>
    <row r="889" ht="14.25" customHeight="1" s="160"/>
    <row r="890" ht="14.25" customHeight="1" s="160"/>
    <row r="891" ht="14.25" customHeight="1" s="160"/>
    <row r="892" ht="14.25" customHeight="1" s="160"/>
    <row r="893" ht="14.25" customHeight="1" s="160"/>
    <row r="894" ht="14.25" customHeight="1" s="160"/>
    <row r="895" ht="14.25" customHeight="1" s="160"/>
    <row r="896" ht="14.25" customHeight="1" s="160"/>
    <row r="897" ht="14.25" customHeight="1" s="160"/>
    <row r="898" ht="14.25" customHeight="1" s="160"/>
    <row r="899" ht="14.25" customHeight="1" s="160"/>
    <row r="900" ht="14.25" customHeight="1" s="160"/>
    <row r="901" ht="14.25" customHeight="1" s="160"/>
    <row r="902" ht="14.25" customHeight="1" s="160"/>
    <row r="903" ht="14.25" customHeight="1" s="160"/>
    <row r="904" ht="14.25" customHeight="1" s="160"/>
    <row r="905" ht="14.25" customHeight="1" s="160"/>
    <row r="906" ht="14.25" customHeight="1" s="160"/>
    <row r="907" ht="14.25" customHeight="1" s="160"/>
    <row r="908" ht="14.25" customHeight="1" s="160"/>
    <row r="909" ht="14.25" customHeight="1" s="160"/>
    <row r="910" ht="14.25" customHeight="1" s="160"/>
    <row r="911" ht="14.25" customHeight="1" s="160"/>
    <row r="912" ht="14.25" customHeight="1" s="160"/>
    <row r="913" ht="14.25" customHeight="1" s="160"/>
    <row r="914" ht="14.25" customHeight="1" s="160"/>
    <row r="915" ht="14.25" customHeight="1" s="160"/>
    <row r="916" ht="14.25" customHeight="1" s="160"/>
    <row r="917" ht="14.25" customHeight="1" s="160"/>
    <row r="918" ht="14.25" customHeight="1" s="160"/>
    <row r="919" ht="14.25" customHeight="1" s="160"/>
    <row r="920" ht="14.25" customHeight="1" s="160"/>
    <row r="921" ht="14.25" customHeight="1" s="160"/>
    <row r="922" ht="14.25" customHeight="1" s="160"/>
    <row r="923" ht="14.25" customHeight="1" s="160"/>
    <row r="924" ht="14.25" customHeight="1" s="160"/>
    <row r="925" ht="14.25" customHeight="1" s="160"/>
    <row r="926" ht="14.25" customHeight="1" s="160"/>
    <row r="927" ht="14.25" customHeight="1" s="160"/>
    <row r="928" ht="14.25" customHeight="1" s="160"/>
    <row r="929" ht="14.25" customHeight="1" s="160"/>
    <row r="930" ht="14.25" customHeight="1" s="160"/>
    <row r="931" ht="14.25" customHeight="1" s="160"/>
    <row r="932" ht="14.25" customHeight="1" s="160"/>
    <row r="933" ht="14.25" customHeight="1" s="160"/>
    <row r="934" ht="14.25" customHeight="1" s="160"/>
    <row r="935" ht="14.25" customHeight="1" s="160"/>
    <row r="936" ht="14.25" customHeight="1" s="160"/>
    <row r="937" ht="14.25" customHeight="1" s="160"/>
    <row r="938" ht="14.25" customHeight="1" s="160"/>
    <row r="939" ht="14.25" customHeight="1" s="160"/>
    <row r="940" ht="14.25" customHeight="1" s="160"/>
    <row r="941" ht="14.25" customHeight="1" s="160"/>
    <row r="942" ht="14.25" customHeight="1" s="160"/>
    <row r="943" ht="14.25" customHeight="1" s="160"/>
    <row r="944" ht="14.25" customHeight="1" s="160"/>
    <row r="945" ht="14.25" customHeight="1" s="160"/>
    <row r="946" ht="14.25" customHeight="1" s="160"/>
    <row r="947" ht="14.25" customHeight="1" s="160"/>
    <row r="948" ht="14.25" customHeight="1" s="160"/>
    <row r="949" ht="14.25" customHeight="1" s="160"/>
    <row r="950" ht="14.25" customHeight="1" s="160"/>
    <row r="951" ht="14.25" customHeight="1" s="160"/>
    <row r="952" ht="14.25" customHeight="1" s="160"/>
    <row r="953" ht="14.25" customHeight="1" s="160"/>
    <row r="954" ht="14.25" customHeight="1" s="160"/>
    <row r="955" ht="14.25" customHeight="1" s="160"/>
    <row r="956" ht="14.25" customHeight="1" s="160"/>
    <row r="957" ht="14.25" customHeight="1" s="160"/>
    <row r="958" ht="14.25" customHeight="1" s="160"/>
    <row r="959" ht="14.25" customHeight="1" s="160"/>
    <row r="960" ht="14.25" customHeight="1" s="160"/>
    <row r="961" ht="14.25" customHeight="1" s="160"/>
    <row r="962" ht="14.25" customHeight="1" s="160"/>
    <row r="963" ht="14.25" customHeight="1" s="160"/>
    <row r="964" ht="14.25" customHeight="1" s="160"/>
    <row r="965" ht="14.25" customHeight="1" s="160"/>
    <row r="966" ht="14.25" customHeight="1" s="160"/>
    <row r="967" ht="14.25" customHeight="1" s="160"/>
    <row r="968" ht="14.25" customHeight="1" s="160"/>
    <row r="969" ht="14.25" customHeight="1" s="160"/>
    <row r="970" ht="14.25" customHeight="1" s="160"/>
    <row r="971" ht="14.25" customHeight="1" s="160"/>
    <row r="972" ht="14.25" customHeight="1" s="160"/>
    <row r="973" ht="14.25" customHeight="1" s="160"/>
    <row r="974" ht="14.25" customHeight="1" s="160"/>
    <row r="975" ht="14.25" customHeight="1" s="160"/>
    <row r="976" ht="14.25" customHeight="1" s="160"/>
    <row r="977" ht="14.25" customHeight="1" s="160"/>
    <row r="978" ht="14.25" customHeight="1" s="160"/>
    <row r="979" ht="14.25" customHeight="1" s="160"/>
    <row r="980" ht="14.25" customHeight="1" s="160"/>
    <row r="981" ht="14.25" customHeight="1" s="160"/>
    <row r="982" ht="14.25" customHeight="1" s="160"/>
    <row r="983" ht="14.25" customHeight="1" s="160"/>
    <row r="984" ht="14.25" customHeight="1" s="160"/>
    <row r="985" ht="14.25" customHeight="1" s="160"/>
    <row r="986" ht="14.25" customHeight="1" s="160"/>
    <row r="987" ht="14.25" customHeight="1" s="160"/>
    <row r="988" ht="14.25" customHeight="1" s="160"/>
    <row r="989" ht="14.25" customHeight="1" s="160"/>
    <row r="990" ht="14.25" customHeight="1" s="160"/>
    <row r="991" ht="14.25" customHeight="1" s="160"/>
    <row r="992" ht="14.25" customHeight="1" s="160"/>
    <row r="993" ht="14.25" customHeight="1" s="160"/>
    <row r="994" ht="14.25" customHeight="1" s="160"/>
    <row r="995" ht="14.25" customHeight="1" s="160"/>
    <row r="996" ht="14.25" customHeight="1" s="160"/>
    <row r="997" ht="14.25" customHeight="1" s="160"/>
    <row r="998" ht="14.25" customHeight="1" s="160"/>
    <row r="999" ht="14.25" customHeight="1" s="160"/>
    <row r="1000" ht="14.25" customHeight="1" s="160"/>
  </sheetData>
  <mergeCells count="43">
    <mergeCell ref="A12:A14"/>
    <mergeCell ref="M12:M14"/>
    <mergeCell ref="C12:C14"/>
    <mergeCell ref="D12:D14"/>
    <mergeCell ref="L9:L11"/>
    <mergeCell ref="D9:D11"/>
    <mergeCell ref="I6:I8"/>
    <mergeCell ref="F9:F11"/>
    <mergeCell ref="H12:H14"/>
    <mergeCell ref="K6:K8"/>
    <mergeCell ref="G9:G11"/>
    <mergeCell ref="L6:L8"/>
    <mergeCell ref="J12:J14"/>
    <mergeCell ref="E12:E14"/>
    <mergeCell ref="C6:C8"/>
    <mergeCell ref="I9:I11"/>
    <mergeCell ref="K9:K11"/>
    <mergeCell ref="D6:D8"/>
    <mergeCell ref="A9:A11"/>
    <mergeCell ref="F6:F8"/>
    <mergeCell ref="B1:K2"/>
    <mergeCell ref="M9:M11"/>
    <mergeCell ref="G12:G14"/>
    <mergeCell ref="A4:A5"/>
    <mergeCell ref="B12:B14"/>
    <mergeCell ref="B4:G4"/>
    <mergeCell ref="J6:J8"/>
    <mergeCell ref="A6:A8"/>
    <mergeCell ref="E6:E8"/>
    <mergeCell ref="H9:H11"/>
    <mergeCell ref="F12:F14"/>
    <mergeCell ref="M6:M8"/>
    <mergeCell ref="J9:J11"/>
    <mergeCell ref="L12:L14"/>
    <mergeCell ref="H6:H8"/>
    <mergeCell ref="H4:M4"/>
    <mergeCell ref="I12:I14"/>
    <mergeCell ref="B9:B11"/>
    <mergeCell ref="G6:G8"/>
    <mergeCell ref="K12:K14"/>
    <mergeCell ref="C9:C11"/>
    <mergeCell ref="B6:B8"/>
    <mergeCell ref="E9:E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4" workbookViewId="0">
      <selection activeCell="C10" sqref="C10"/>
    </sheetView>
  </sheetViews>
  <sheetFormatPr baseColWidth="8" defaultColWidth="12.64453125" defaultRowHeight="15" customHeight="1"/>
  <cols>
    <col width="12.375" customWidth="1" style="160" min="1" max="1"/>
    <col width="12.9140625" customWidth="1" style="160" min="2" max="2"/>
    <col width="33.359375" customWidth="1" style="160" min="3" max="3"/>
    <col width="27.171875" customWidth="1" style="160" min="4" max="4"/>
    <col width="39.4140625" customWidth="1" style="160" min="5" max="5"/>
    <col width="8.609375" customWidth="1" style="160" min="6" max="26"/>
  </cols>
  <sheetData>
    <row r="1" ht="14.25" customHeight="1" s="160">
      <c r="B1" s="259" t="inlineStr">
        <is>
          <t xml:space="preserve">Sick ewes </t>
        </is>
      </c>
    </row>
    <row r="2" ht="14.25" customHeight="1" s="160"/>
    <row r="3" ht="14.25" customHeight="1" s="160"/>
    <row r="4" ht="14.25" customHeight="1" s="160">
      <c r="A4" s="103" t="inlineStr">
        <is>
          <t xml:space="preserve">Sheep ID  </t>
        </is>
      </c>
      <c r="B4" s="103" t="inlineStr">
        <is>
          <t>Date</t>
        </is>
      </c>
      <c r="C4" s="103" t="inlineStr">
        <is>
          <t xml:space="preserve">Symptoms </t>
        </is>
      </c>
      <c r="D4" s="103" t="inlineStr">
        <is>
          <t xml:space="preserve">Treatment </t>
        </is>
      </c>
      <c r="E4" s="103" t="inlineStr">
        <is>
          <t>Condition after Treatment</t>
        </is>
      </c>
    </row>
    <row r="5" ht="14.25" customHeight="1" s="160">
      <c r="A5" s="104" t="n"/>
      <c r="B5" s="105" t="n"/>
      <c r="C5" s="181" t="n"/>
      <c r="D5" s="181" t="n"/>
      <c r="E5" s="104" t="n"/>
    </row>
    <row r="6" ht="113.25" customHeight="1" s="160">
      <c r="A6" s="104" t="n"/>
      <c r="B6" s="105" t="n"/>
      <c r="C6" s="181" t="n"/>
      <c r="D6" s="181" t="n"/>
      <c r="E6" s="181" t="n"/>
    </row>
    <row r="7" ht="81.75" customHeight="1" s="160">
      <c r="A7" s="104" t="n"/>
      <c r="B7" s="105" t="n"/>
      <c r="C7" s="181" t="n"/>
      <c r="D7" s="181" t="n"/>
      <c r="E7" s="181" t="n"/>
    </row>
    <row r="8" ht="51.75" customHeight="1" s="160">
      <c r="A8" s="104" t="n"/>
      <c r="B8" s="105" t="n"/>
      <c r="C8" s="181" t="n"/>
      <c r="D8" s="181" t="n"/>
      <c r="E8" s="181" t="n"/>
    </row>
    <row r="9" ht="62.25" customFormat="1" customHeight="1" s="145">
      <c r="A9" s="181" t="n"/>
      <c r="B9" s="181" t="n"/>
      <c r="C9" s="181" t="n"/>
      <c r="D9" s="181" t="n"/>
      <c r="E9" s="181" t="n"/>
    </row>
    <row r="10" ht="54" customHeight="1" s="160">
      <c r="A10" s="104" t="n"/>
      <c r="B10" s="94" t="n"/>
      <c r="C10" s="181" t="n"/>
      <c r="D10" s="181" t="n"/>
      <c r="E10" s="104" t="n"/>
    </row>
    <row r="11" ht="14.25" customHeight="1" s="160"/>
    <row r="12" ht="14.25" customHeight="1" s="160"/>
    <row r="13" ht="14.25" customHeight="1" s="160"/>
    <row r="14" ht="14.25" customHeight="1" s="160"/>
    <row r="15" ht="14.25" customHeight="1" s="160"/>
    <row r="16" ht="14.25" customHeight="1" s="160"/>
    <row r="17" ht="14.25" customHeight="1" s="160"/>
    <row r="18" ht="14.25" customHeight="1" s="160"/>
    <row r="19" ht="14.25" customHeight="1" s="160"/>
    <row r="20" ht="14.25" customHeight="1" s="160"/>
    <row r="21" ht="14.25" customHeight="1" s="160"/>
    <row r="22" ht="14.25" customHeight="1" s="160"/>
    <row r="23" ht="14.25" customHeight="1" s="160"/>
    <row r="24" ht="14.25" customHeight="1" s="160"/>
    <row r="25" ht="14.25" customHeight="1" s="160"/>
    <row r="26" ht="14.25" customHeight="1" s="160"/>
    <row r="27" ht="14.25" customHeight="1" s="160"/>
    <row r="28" ht="14.25" customHeight="1" s="160"/>
    <row r="29" ht="14.25" customHeight="1" s="160"/>
    <row r="30" ht="14.25" customHeight="1" s="160"/>
    <row r="31" ht="14.25" customHeight="1" s="160"/>
    <row r="32" ht="14.25" customHeight="1" s="160"/>
    <row r="33" ht="14.25" customHeight="1" s="160"/>
    <row r="34" ht="14.25" customHeight="1" s="160"/>
    <row r="35" ht="14.25" customHeight="1" s="160"/>
    <row r="36" ht="14.25" customHeight="1" s="160"/>
    <row r="37" ht="14.25" customHeight="1" s="160"/>
    <row r="38" ht="14.25" customHeight="1" s="160"/>
    <row r="39" ht="14.25" customHeight="1" s="160"/>
    <row r="40" ht="14.25" customHeight="1" s="160"/>
    <row r="41" ht="14.25" customHeight="1" s="160"/>
    <row r="42" ht="14.25" customHeight="1" s="160"/>
    <row r="43" ht="14.25" customHeight="1" s="160"/>
    <row r="44" ht="14.25" customHeight="1" s="160"/>
    <row r="45" ht="14.25" customHeight="1" s="160"/>
    <row r="46" ht="14.25" customHeight="1" s="160"/>
    <row r="47" ht="14.25" customHeight="1" s="160"/>
    <row r="48" ht="14.25" customHeight="1" s="160"/>
    <row r="49" ht="14.25" customHeight="1" s="160"/>
    <row r="50" ht="14.25" customHeight="1" s="160"/>
    <row r="51" ht="14.25" customHeight="1" s="160"/>
    <row r="52" ht="14.25" customHeight="1" s="160"/>
    <row r="53" ht="14.25" customHeight="1" s="160"/>
    <row r="54" ht="14.25" customHeight="1" s="160"/>
    <row r="55" ht="14.25" customHeight="1" s="160"/>
    <row r="56" ht="14.25" customHeight="1" s="160"/>
    <row r="57" ht="14.25" customHeight="1" s="160"/>
    <row r="58" ht="14.25" customHeight="1" s="160"/>
    <row r="59" ht="14.25" customHeight="1" s="160"/>
    <row r="60" ht="14.25" customHeight="1" s="160"/>
    <row r="61" ht="14.25" customHeight="1" s="160"/>
    <row r="62" ht="14.25" customHeight="1" s="160"/>
    <row r="63" ht="14.25" customHeight="1" s="160"/>
    <row r="64" ht="14.25" customHeight="1" s="160"/>
    <row r="65" ht="14.25" customHeight="1" s="160"/>
    <row r="66" ht="14.25" customHeight="1" s="160"/>
    <row r="67" ht="14.25" customHeight="1" s="160"/>
    <row r="68" ht="14.25" customHeight="1" s="160"/>
    <row r="69" ht="14.25" customHeight="1" s="160"/>
    <row r="70" ht="14.25" customHeight="1" s="160"/>
    <row r="71" ht="14.25" customHeight="1" s="160"/>
    <row r="72" ht="14.25" customHeight="1" s="160"/>
    <row r="73" ht="14.25" customHeight="1" s="160"/>
    <row r="74" ht="14.25" customHeight="1" s="160"/>
    <row r="75" ht="14.25" customHeight="1" s="160"/>
    <row r="76" ht="14.25" customHeight="1" s="160"/>
    <row r="77" ht="14.25" customHeight="1" s="160"/>
    <row r="78" ht="14.25" customHeight="1" s="160"/>
    <row r="79" ht="14.25" customHeight="1" s="160"/>
    <row r="80" ht="14.25" customHeight="1" s="160"/>
    <row r="81" ht="14.25" customHeight="1" s="160"/>
    <row r="82" ht="14.25" customHeight="1" s="160"/>
    <row r="83" ht="14.25" customHeight="1" s="160"/>
    <row r="84" ht="14.25" customHeight="1" s="160"/>
    <row r="85" ht="14.25" customHeight="1" s="160"/>
    <row r="86" ht="14.25" customHeight="1" s="160"/>
    <row r="87" ht="14.25" customHeight="1" s="160"/>
    <row r="88" ht="14.25" customHeight="1" s="160"/>
    <row r="89" ht="14.25" customHeight="1" s="160"/>
    <row r="90" ht="14.25" customHeight="1" s="160"/>
    <row r="91" ht="14.25" customHeight="1" s="160"/>
    <row r="92" ht="14.25" customHeight="1" s="160"/>
    <row r="93" ht="14.25" customHeight="1" s="160"/>
    <row r="94" ht="14.25" customHeight="1" s="160"/>
    <row r="95" ht="14.25" customHeight="1" s="160"/>
    <row r="96" ht="14.25" customHeight="1" s="160"/>
    <row r="97" ht="14.25" customHeight="1" s="160"/>
    <row r="98" ht="14.25" customHeight="1" s="160"/>
    <row r="99" ht="14.25" customHeight="1" s="160"/>
    <row r="100" ht="14.25" customHeight="1" s="160"/>
    <row r="101" ht="14.25" customHeight="1" s="160"/>
    <row r="102" ht="14.25" customHeight="1" s="160"/>
    <row r="103" ht="14.25" customHeight="1" s="160"/>
    <row r="104" ht="14.25" customHeight="1" s="160"/>
    <row r="105" ht="14.25" customHeight="1" s="160"/>
    <row r="106" ht="14.25" customHeight="1" s="160"/>
    <row r="107" ht="14.25" customHeight="1" s="160"/>
    <row r="108" ht="14.25" customHeight="1" s="160"/>
    <row r="109" ht="14.25" customHeight="1" s="160"/>
    <row r="110" ht="14.25" customHeight="1" s="160"/>
    <row r="111" ht="14.25" customHeight="1" s="160"/>
    <row r="112" ht="14.25" customHeight="1" s="160"/>
    <row r="113" ht="14.25" customHeight="1" s="160"/>
    <row r="114" ht="14.25" customHeight="1" s="160"/>
    <row r="115" ht="14.25" customHeight="1" s="160"/>
    <row r="116" ht="14.25" customHeight="1" s="160"/>
    <row r="117" ht="14.25" customHeight="1" s="160"/>
    <row r="118" ht="14.25" customHeight="1" s="160"/>
    <row r="119" ht="14.25" customHeight="1" s="160"/>
    <row r="120" ht="14.25" customHeight="1" s="160"/>
    <row r="121" ht="14.25" customHeight="1" s="160"/>
    <row r="122" ht="14.25" customHeight="1" s="160"/>
    <row r="123" ht="14.25" customHeight="1" s="160"/>
    <row r="124" ht="14.25" customHeight="1" s="160"/>
    <row r="125" ht="14.25" customHeight="1" s="160"/>
    <row r="126" ht="14.25" customHeight="1" s="160"/>
    <row r="127" ht="14.25" customHeight="1" s="160"/>
    <row r="128" ht="14.25" customHeight="1" s="160"/>
    <row r="129" ht="14.25" customHeight="1" s="160"/>
    <row r="130" ht="14.25" customHeight="1" s="160"/>
    <row r="131" ht="14.25" customHeight="1" s="160"/>
    <row r="132" ht="14.25" customHeight="1" s="160"/>
    <row r="133" ht="14.25" customHeight="1" s="160"/>
    <row r="134" ht="14.25" customHeight="1" s="160"/>
    <row r="135" ht="14.25" customHeight="1" s="160"/>
    <row r="136" ht="14.25" customHeight="1" s="160"/>
    <row r="137" ht="14.25" customHeight="1" s="160"/>
    <row r="138" ht="14.25" customHeight="1" s="160"/>
    <row r="139" ht="14.25" customHeight="1" s="160"/>
    <row r="140" ht="14.25" customHeight="1" s="160"/>
    <row r="141" ht="14.25" customHeight="1" s="160"/>
    <row r="142" ht="14.25" customHeight="1" s="160"/>
    <row r="143" ht="14.25" customHeight="1" s="160"/>
    <row r="144" ht="14.25" customHeight="1" s="160"/>
    <row r="145" ht="14.25" customHeight="1" s="160"/>
    <row r="146" ht="14.25" customHeight="1" s="160"/>
    <row r="147" ht="14.25" customHeight="1" s="160"/>
    <row r="148" ht="14.25" customHeight="1" s="160"/>
    <row r="149" ht="14.25" customHeight="1" s="160"/>
    <row r="150" ht="14.25" customHeight="1" s="160"/>
    <row r="151" ht="14.25" customHeight="1" s="160"/>
    <row r="152" ht="14.25" customHeight="1" s="160"/>
    <row r="153" ht="14.25" customHeight="1" s="160"/>
    <row r="154" ht="14.25" customHeight="1" s="160"/>
    <row r="155" ht="14.25" customHeight="1" s="160"/>
    <row r="156" ht="14.25" customHeight="1" s="160"/>
    <row r="157" ht="14.25" customHeight="1" s="160"/>
    <row r="158" ht="14.25" customHeight="1" s="160"/>
    <row r="159" ht="14.25" customHeight="1" s="160"/>
    <row r="160" ht="14.25" customHeight="1" s="160"/>
    <row r="161" ht="14.25" customHeight="1" s="160"/>
    <row r="162" ht="14.25" customHeight="1" s="160"/>
    <row r="163" ht="14.25" customHeight="1" s="160"/>
    <row r="164" ht="14.25" customHeight="1" s="160"/>
    <row r="165" ht="14.25" customHeight="1" s="160"/>
    <row r="166" ht="14.25" customHeight="1" s="160"/>
    <row r="167" ht="14.25" customHeight="1" s="160"/>
    <row r="168" ht="14.25" customHeight="1" s="160"/>
    <row r="169" ht="14.25" customHeight="1" s="160"/>
    <row r="170" ht="14.25" customHeight="1" s="160"/>
    <row r="171" ht="14.25" customHeight="1" s="160"/>
    <row r="172" ht="14.25" customHeight="1" s="160"/>
    <row r="173" ht="14.25" customHeight="1" s="160"/>
    <row r="174" ht="14.25" customHeight="1" s="160"/>
    <row r="175" ht="14.25" customHeight="1" s="160"/>
    <row r="176" ht="14.25" customHeight="1" s="160"/>
    <row r="177" ht="14.25" customHeight="1" s="160"/>
    <row r="178" ht="14.25" customHeight="1" s="160"/>
    <row r="179" ht="14.25" customHeight="1" s="160"/>
    <row r="180" ht="14.25" customHeight="1" s="160"/>
    <row r="181" ht="14.25" customHeight="1" s="160"/>
    <row r="182" ht="14.25" customHeight="1" s="160"/>
    <row r="183" ht="14.25" customHeight="1" s="160"/>
    <row r="184" ht="14.25" customHeight="1" s="160"/>
    <row r="185" ht="14.25" customHeight="1" s="160"/>
    <row r="186" ht="14.25" customHeight="1" s="160"/>
    <row r="187" ht="14.25" customHeight="1" s="160"/>
    <row r="188" ht="14.25" customHeight="1" s="160"/>
    <row r="189" ht="14.25" customHeight="1" s="160"/>
    <row r="190" ht="14.25" customHeight="1" s="160"/>
    <row r="191" ht="14.25" customHeight="1" s="160"/>
    <row r="192" ht="14.25" customHeight="1" s="160"/>
    <row r="193" ht="14.25" customHeight="1" s="160"/>
    <row r="194" ht="14.25" customHeight="1" s="160"/>
    <row r="195" ht="14.25" customHeight="1" s="160"/>
    <row r="196" ht="14.25" customHeight="1" s="160"/>
    <row r="197" ht="14.25" customHeight="1" s="160"/>
    <row r="198" ht="14.25" customHeight="1" s="160"/>
    <row r="199" ht="14.25" customHeight="1" s="160"/>
    <row r="200" ht="14.25" customHeight="1" s="160"/>
    <row r="201" ht="14.25" customHeight="1" s="160"/>
    <row r="202" ht="14.25" customHeight="1" s="160"/>
    <row r="203" ht="14.25" customHeight="1" s="160"/>
    <row r="204" ht="14.25" customHeight="1" s="160"/>
    <row r="205" ht="14.25" customHeight="1" s="160"/>
    <row r="206" ht="14.25" customHeight="1" s="160"/>
    <row r="207" ht="14.25" customHeight="1" s="160"/>
    <row r="208" ht="14.25" customHeight="1" s="160"/>
    <row r="209" ht="14.25" customHeight="1" s="160"/>
    <row r="210" ht="14.25" customHeight="1" s="160"/>
    <row r="211" ht="14.25" customHeight="1" s="160"/>
    <row r="212" ht="14.25" customHeight="1" s="160"/>
    <row r="213" ht="14.25" customHeight="1" s="160"/>
    <row r="214" ht="14.25" customHeight="1" s="160"/>
    <row r="215" ht="14.25" customHeight="1" s="160"/>
    <row r="216" ht="14.25" customHeight="1" s="160"/>
    <row r="217" ht="14.25" customHeight="1" s="160"/>
    <row r="218" ht="14.25" customHeight="1" s="160"/>
    <row r="219" ht="14.25" customHeight="1" s="160"/>
    <row r="220" ht="14.25" customHeight="1" s="160"/>
    <row r="221" ht="14.25" customHeight="1" s="160"/>
    <row r="222" ht="14.25" customHeight="1" s="160"/>
    <row r="223" ht="14.25" customHeight="1" s="160"/>
    <row r="224" ht="14.25" customHeight="1" s="160"/>
    <row r="225" ht="14.25" customHeight="1" s="160"/>
    <row r="226" ht="14.25" customHeight="1" s="160"/>
    <row r="227" ht="14.25" customHeight="1" s="160"/>
    <row r="228" ht="14.25" customHeight="1" s="160"/>
    <row r="229" ht="14.25" customHeight="1" s="160"/>
    <row r="230" ht="14.25" customHeight="1" s="160"/>
    <row r="231" ht="14.25" customHeight="1" s="160"/>
    <row r="232" ht="14.25" customHeight="1" s="160"/>
    <row r="233" ht="14.25" customHeight="1" s="160"/>
    <row r="234" ht="14.25" customHeight="1" s="160"/>
    <row r="235" ht="14.25" customHeight="1" s="160"/>
    <row r="236" ht="14.25" customHeight="1" s="160"/>
    <row r="237" ht="14.25" customHeight="1" s="160"/>
    <row r="238" ht="14.25" customHeight="1" s="160"/>
    <row r="239" ht="14.25" customHeight="1" s="160"/>
    <row r="240" ht="14.25" customHeight="1" s="160"/>
    <row r="241" ht="14.25" customHeight="1" s="160"/>
    <row r="242" ht="14.25" customHeight="1" s="160"/>
    <row r="243" ht="14.25" customHeight="1" s="160"/>
    <row r="244" ht="14.25" customHeight="1" s="160"/>
    <row r="245" ht="14.25" customHeight="1" s="160"/>
    <row r="246" ht="14.25" customHeight="1" s="160"/>
    <row r="247" ht="14.25" customHeight="1" s="160"/>
    <row r="248" ht="14.25" customHeight="1" s="160"/>
    <row r="249" ht="14.25" customHeight="1" s="160"/>
    <row r="250" ht="14.25" customHeight="1" s="160"/>
    <row r="251" ht="14.25" customHeight="1" s="160"/>
    <row r="252" ht="14.25" customHeight="1" s="160"/>
    <row r="253" ht="14.25" customHeight="1" s="160"/>
    <row r="254" ht="14.25" customHeight="1" s="160"/>
    <row r="255" ht="14.25" customHeight="1" s="160"/>
    <row r="256" ht="14.25" customHeight="1" s="160"/>
    <row r="257" ht="14.25" customHeight="1" s="160"/>
    <row r="258" ht="14.25" customHeight="1" s="160"/>
    <row r="259" ht="14.25" customHeight="1" s="160"/>
    <row r="260" ht="14.25" customHeight="1" s="160"/>
    <row r="261" ht="14.25" customHeight="1" s="160"/>
    <row r="262" ht="14.25" customHeight="1" s="160"/>
    <row r="263" ht="14.25" customHeight="1" s="160"/>
    <row r="264" ht="14.25" customHeight="1" s="160"/>
    <row r="265" ht="14.25" customHeight="1" s="160"/>
    <row r="266" ht="14.25" customHeight="1" s="160"/>
    <row r="267" ht="14.25" customHeight="1" s="160"/>
    <row r="268" ht="14.25" customHeight="1" s="160"/>
    <row r="269" ht="14.25" customHeight="1" s="160"/>
    <row r="270" ht="14.25" customHeight="1" s="160"/>
    <row r="271" ht="14.25" customHeight="1" s="160"/>
    <row r="272" ht="14.25" customHeight="1" s="160"/>
    <row r="273" ht="14.25" customHeight="1" s="160"/>
    <row r="274" ht="14.25" customHeight="1" s="160"/>
    <row r="275" ht="14.25" customHeight="1" s="160"/>
    <row r="276" ht="14.25" customHeight="1" s="160"/>
    <row r="277" ht="14.25" customHeight="1" s="160"/>
    <row r="278" ht="14.25" customHeight="1" s="160"/>
    <row r="279" ht="14.25" customHeight="1" s="160"/>
    <row r="280" ht="14.25" customHeight="1" s="160"/>
    <row r="281" ht="14.25" customHeight="1" s="160"/>
    <row r="282" ht="14.25" customHeight="1" s="160"/>
    <row r="283" ht="14.25" customHeight="1" s="160"/>
    <row r="284" ht="14.25" customHeight="1" s="160"/>
    <row r="285" ht="14.25" customHeight="1" s="160"/>
    <row r="286" ht="14.25" customHeight="1" s="160"/>
    <row r="287" ht="14.25" customHeight="1" s="160"/>
    <row r="288" ht="14.25" customHeight="1" s="160"/>
    <row r="289" ht="14.25" customHeight="1" s="160"/>
    <row r="290" ht="14.25" customHeight="1" s="160"/>
    <row r="291" ht="14.25" customHeight="1" s="160"/>
    <row r="292" ht="14.25" customHeight="1" s="160"/>
    <row r="293" ht="14.25" customHeight="1" s="160"/>
    <row r="294" ht="14.25" customHeight="1" s="160"/>
    <row r="295" ht="14.25" customHeight="1" s="160"/>
    <row r="296" ht="14.25" customHeight="1" s="160"/>
    <row r="297" ht="14.25" customHeight="1" s="160"/>
    <row r="298" ht="14.25" customHeight="1" s="160"/>
    <row r="299" ht="14.25" customHeight="1" s="160"/>
    <row r="300" ht="14.25" customHeight="1" s="160"/>
    <row r="301" ht="14.25" customHeight="1" s="160"/>
    <row r="302" ht="14.25" customHeight="1" s="160"/>
    <row r="303" ht="14.25" customHeight="1" s="160"/>
    <row r="304" ht="14.25" customHeight="1" s="160"/>
    <row r="305" ht="14.25" customHeight="1" s="160"/>
    <row r="306" ht="14.25" customHeight="1" s="160"/>
    <row r="307" ht="14.25" customHeight="1" s="160"/>
    <row r="308" ht="14.25" customHeight="1" s="160"/>
    <row r="309" ht="14.25" customHeight="1" s="160"/>
    <row r="310" ht="14.25" customHeight="1" s="160"/>
    <row r="311" ht="14.25" customHeight="1" s="160"/>
    <row r="312" ht="14.25" customHeight="1" s="160"/>
    <row r="313" ht="14.25" customHeight="1" s="160"/>
    <row r="314" ht="14.25" customHeight="1" s="160"/>
    <row r="315" ht="14.25" customHeight="1" s="160"/>
    <row r="316" ht="14.25" customHeight="1" s="160"/>
    <row r="317" ht="14.25" customHeight="1" s="160"/>
    <row r="318" ht="14.25" customHeight="1" s="160"/>
    <row r="319" ht="14.25" customHeight="1" s="160"/>
    <row r="320" ht="14.25" customHeight="1" s="160"/>
    <row r="321" ht="14.25" customHeight="1" s="160"/>
    <row r="322" ht="14.25" customHeight="1" s="160"/>
    <row r="323" ht="14.25" customHeight="1" s="160"/>
    <row r="324" ht="14.25" customHeight="1" s="160"/>
    <row r="325" ht="14.25" customHeight="1" s="160"/>
    <row r="326" ht="14.25" customHeight="1" s="160"/>
    <row r="327" ht="14.25" customHeight="1" s="160"/>
    <row r="328" ht="14.25" customHeight="1" s="160"/>
    <row r="329" ht="14.25" customHeight="1" s="160"/>
    <row r="330" ht="14.25" customHeight="1" s="160"/>
    <row r="331" ht="14.25" customHeight="1" s="160"/>
    <row r="332" ht="14.25" customHeight="1" s="160"/>
    <row r="333" ht="14.25" customHeight="1" s="160"/>
    <row r="334" ht="14.25" customHeight="1" s="160"/>
    <row r="335" ht="14.25" customHeight="1" s="160"/>
    <row r="336" ht="14.25" customHeight="1" s="160"/>
    <row r="337" ht="14.25" customHeight="1" s="160"/>
    <row r="338" ht="14.25" customHeight="1" s="160"/>
    <row r="339" ht="14.25" customHeight="1" s="160"/>
    <row r="340" ht="14.25" customHeight="1" s="160"/>
    <row r="341" ht="14.25" customHeight="1" s="160"/>
    <row r="342" ht="14.25" customHeight="1" s="160"/>
    <row r="343" ht="14.25" customHeight="1" s="160"/>
    <row r="344" ht="14.25" customHeight="1" s="160"/>
    <row r="345" ht="14.25" customHeight="1" s="160"/>
    <row r="346" ht="14.25" customHeight="1" s="160"/>
    <row r="347" ht="14.25" customHeight="1" s="160"/>
    <row r="348" ht="14.25" customHeight="1" s="160"/>
    <row r="349" ht="14.25" customHeight="1" s="160"/>
    <row r="350" ht="14.25" customHeight="1" s="160"/>
    <row r="351" ht="14.25" customHeight="1" s="160"/>
    <row r="352" ht="14.25" customHeight="1" s="160"/>
    <row r="353" ht="14.25" customHeight="1" s="160"/>
    <row r="354" ht="14.25" customHeight="1" s="160"/>
    <row r="355" ht="14.25" customHeight="1" s="160"/>
    <row r="356" ht="14.25" customHeight="1" s="160"/>
    <row r="357" ht="14.25" customHeight="1" s="160"/>
    <row r="358" ht="14.25" customHeight="1" s="160"/>
    <row r="359" ht="14.25" customHeight="1" s="160"/>
    <row r="360" ht="14.25" customHeight="1" s="160"/>
    <row r="361" ht="14.25" customHeight="1" s="160"/>
    <row r="362" ht="14.25" customHeight="1" s="160"/>
    <row r="363" ht="14.25" customHeight="1" s="160"/>
    <row r="364" ht="14.25" customHeight="1" s="160"/>
    <row r="365" ht="14.25" customHeight="1" s="160"/>
    <row r="366" ht="14.25" customHeight="1" s="160"/>
    <row r="367" ht="14.25" customHeight="1" s="160"/>
    <row r="368" ht="14.25" customHeight="1" s="160"/>
    <row r="369" ht="14.25" customHeight="1" s="160"/>
    <row r="370" ht="14.25" customHeight="1" s="160"/>
    <row r="371" ht="14.25" customHeight="1" s="160"/>
    <row r="372" ht="14.25" customHeight="1" s="160"/>
    <row r="373" ht="14.25" customHeight="1" s="160"/>
    <row r="374" ht="14.25" customHeight="1" s="160"/>
    <row r="375" ht="14.25" customHeight="1" s="160"/>
    <row r="376" ht="14.25" customHeight="1" s="160"/>
    <row r="377" ht="14.25" customHeight="1" s="160"/>
    <row r="378" ht="14.25" customHeight="1" s="160"/>
    <row r="379" ht="14.25" customHeight="1" s="160"/>
    <row r="380" ht="14.25" customHeight="1" s="160"/>
    <row r="381" ht="14.25" customHeight="1" s="160"/>
    <row r="382" ht="14.25" customHeight="1" s="160"/>
    <row r="383" ht="14.25" customHeight="1" s="160"/>
    <row r="384" ht="14.25" customHeight="1" s="160"/>
    <row r="385" ht="14.25" customHeight="1" s="160"/>
    <row r="386" ht="14.25" customHeight="1" s="160"/>
    <row r="387" ht="14.25" customHeight="1" s="160"/>
    <row r="388" ht="14.25" customHeight="1" s="160"/>
    <row r="389" ht="14.25" customHeight="1" s="160"/>
    <row r="390" ht="14.25" customHeight="1" s="160"/>
    <row r="391" ht="14.25" customHeight="1" s="160"/>
    <row r="392" ht="14.25" customHeight="1" s="160"/>
    <row r="393" ht="14.25" customHeight="1" s="160"/>
    <row r="394" ht="14.25" customHeight="1" s="160"/>
    <row r="395" ht="14.25" customHeight="1" s="160"/>
    <row r="396" ht="14.25" customHeight="1" s="160"/>
    <row r="397" ht="14.25" customHeight="1" s="160"/>
    <row r="398" ht="14.25" customHeight="1" s="160"/>
    <row r="399" ht="14.25" customHeight="1" s="160"/>
    <row r="400" ht="14.25" customHeight="1" s="160"/>
    <row r="401" ht="14.25" customHeight="1" s="160"/>
    <row r="402" ht="14.25" customHeight="1" s="160"/>
    <row r="403" ht="14.25" customHeight="1" s="160"/>
    <row r="404" ht="14.25" customHeight="1" s="160"/>
    <row r="405" ht="14.25" customHeight="1" s="160"/>
    <row r="406" ht="14.25" customHeight="1" s="160"/>
    <row r="407" ht="14.25" customHeight="1" s="160"/>
    <row r="408" ht="14.25" customHeight="1" s="160"/>
    <row r="409" ht="14.25" customHeight="1" s="160"/>
    <row r="410" ht="14.25" customHeight="1" s="160"/>
    <row r="411" ht="14.25" customHeight="1" s="160"/>
    <row r="412" ht="14.25" customHeight="1" s="160"/>
    <row r="413" ht="14.25" customHeight="1" s="160"/>
    <row r="414" ht="14.25" customHeight="1" s="160"/>
    <row r="415" ht="14.25" customHeight="1" s="160"/>
    <row r="416" ht="14.25" customHeight="1" s="160"/>
    <row r="417" ht="14.25" customHeight="1" s="160"/>
    <row r="418" ht="14.25" customHeight="1" s="160"/>
    <row r="419" ht="14.25" customHeight="1" s="160"/>
    <row r="420" ht="14.25" customHeight="1" s="160"/>
    <row r="421" ht="14.25" customHeight="1" s="160"/>
    <row r="422" ht="14.25" customHeight="1" s="160"/>
    <row r="423" ht="14.25" customHeight="1" s="160"/>
    <row r="424" ht="14.25" customHeight="1" s="160"/>
    <row r="425" ht="14.25" customHeight="1" s="160"/>
    <row r="426" ht="14.25" customHeight="1" s="160"/>
    <row r="427" ht="14.25" customHeight="1" s="160"/>
    <row r="428" ht="14.25" customHeight="1" s="160"/>
    <row r="429" ht="14.25" customHeight="1" s="160"/>
    <row r="430" ht="14.25" customHeight="1" s="160"/>
    <row r="431" ht="14.25" customHeight="1" s="160"/>
    <row r="432" ht="14.25" customHeight="1" s="160"/>
    <row r="433" ht="14.25" customHeight="1" s="160"/>
    <row r="434" ht="14.25" customHeight="1" s="160"/>
    <row r="435" ht="14.25" customHeight="1" s="160"/>
    <row r="436" ht="14.25" customHeight="1" s="160"/>
    <row r="437" ht="14.25" customHeight="1" s="160"/>
    <row r="438" ht="14.25" customHeight="1" s="160"/>
    <row r="439" ht="14.25" customHeight="1" s="160"/>
    <row r="440" ht="14.25" customHeight="1" s="160"/>
    <row r="441" ht="14.25" customHeight="1" s="160"/>
    <row r="442" ht="14.25" customHeight="1" s="160"/>
    <row r="443" ht="14.25" customHeight="1" s="160"/>
    <row r="444" ht="14.25" customHeight="1" s="160"/>
    <row r="445" ht="14.25" customHeight="1" s="160"/>
    <row r="446" ht="14.25" customHeight="1" s="160"/>
    <row r="447" ht="14.25" customHeight="1" s="160"/>
    <row r="448" ht="14.25" customHeight="1" s="160"/>
    <row r="449" ht="14.25" customHeight="1" s="160"/>
    <row r="450" ht="14.25" customHeight="1" s="160"/>
    <row r="451" ht="14.25" customHeight="1" s="160"/>
    <row r="452" ht="14.25" customHeight="1" s="160"/>
    <row r="453" ht="14.25" customHeight="1" s="160"/>
    <row r="454" ht="14.25" customHeight="1" s="160"/>
    <row r="455" ht="14.25" customHeight="1" s="160"/>
    <row r="456" ht="14.25" customHeight="1" s="160"/>
    <row r="457" ht="14.25" customHeight="1" s="160"/>
    <row r="458" ht="14.25" customHeight="1" s="160"/>
    <row r="459" ht="14.25" customHeight="1" s="160"/>
    <row r="460" ht="14.25" customHeight="1" s="160"/>
    <row r="461" ht="14.25" customHeight="1" s="160"/>
    <row r="462" ht="14.25" customHeight="1" s="160"/>
    <row r="463" ht="14.25" customHeight="1" s="160"/>
    <row r="464" ht="14.25" customHeight="1" s="160"/>
    <row r="465" ht="14.25" customHeight="1" s="160"/>
    <row r="466" ht="14.25" customHeight="1" s="160"/>
    <row r="467" ht="14.25" customHeight="1" s="160"/>
    <row r="468" ht="14.25" customHeight="1" s="160"/>
    <row r="469" ht="14.25" customHeight="1" s="160"/>
    <row r="470" ht="14.25" customHeight="1" s="160"/>
    <row r="471" ht="14.25" customHeight="1" s="160"/>
    <row r="472" ht="14.25" customHeight="1" s="160"/>
    <row r="473" ht="14.25" customHeight="1" s="160"/>
    <row r="474" ht="14.25" customHeight="1" s="160"/>
    <row r="475" ht="14.25" customHeight="1" s="160"/>
    <row r="476" ht="14.25" customHeight="1" s="160"/>
    <row r="477" ht="14.25" customHeight="1" s="160"/>
    <row r="478" ht="14.25" customHeight="1" s="160"/>
    <row r="479" ht="14.25" customHeight="1" s="160"/>
    <row r="480" ht="14.25" customHeight="1" s="160"/>
    <row r="481" ht="14.25" customHeight="1" s="160"/>
    <row r="482" ht="14.25" customHeight="1" s="160"/>
    <row r="483" ht="14.25" customHeight="1" s="160"/>
    <row r="484" ht="14.25" customHeight="1" s="160"/>
    <row r="485" ht="14.25" customHeight="1" s="160"/>
    <row r="486" ht="14.25" customHeight="1" s="160"/>
    <row r="487" ht="14.25" customHeight="1" s="160"/>
    <row r="488" ht="14.25" customHeight="1" s="160"/>
    <row r="489" ht="14.25" customHeight="1" s="160"/>
    <row r="490" ht="14.25" customHeight="1" s="160"/>
    <row r="491" ht="14.25" customHeight="1" s="160"/>
    <row r="492" ht="14.25" customHeight="1" s="160"/>
    <row r="493" ht="14.25" customHeight="1" s="160"/>
    <row r="494" ht="14.25" customHeight="1" s="160"/>
    <row r="495" ht="14.25" customHeight="1" s="160"/>
    <row r="496" ht="14.25" customHeight="1" s="160"/>
    <row r="497" ht="14.25" customHeight="1" s="160"/>
    <row r="498" ht="14.25" customHeight="1" s="160"/>
    <row r="499" ht="14.25" customHeight="1" s="160"/>
    <row r="500" ht="14.25" customHeight="1" s="160"/>
    <row r="501" ht="14.25" customHeight="1" s="160"/>
    <row r="502" ht="14.25" customHeight="1" s="160"/>
    <row r="503" ht="14.25" customHeight="1" s="160"/>
    <row r="504" ht="14.25" customHeight="1" s="160"/>
    <row r="505" ht="14.25" customHeight="1" s="160"/>
    <row r="506" ht="14.25" customHeight="1" s="160"/>
    <row r="507" ht="14.25" customHeight="1" s="160"/>
    <row r="508" ht="14.25" customHeight="1" s="160"/>
    <row r="509" ht="14.25" customHeight="1" s="160"/>
    <row r="510" ht="14.25" customHeight="1" s="160"/>
    <row r="511" ht="14.25" customHeight="1" s="160"/>
    <row r="512" ht="14.25" customHeight="1" s="160"/>
    <row r="513" ht="14.25" customHeight="1" s="160"/>
    <row r="514" ht="14.25" customHeight="1" s="160"/>
    <row r="515" ht="14.25" customHeight="1" s="160"/>
    <row r="516" ht="14.25" customHeight="1" s="160"/>
    <row r="517" ht="14.25" customHeight="1" s="160"/>
    <row r="518" ht="14.25" customHeight="1" s="160"/>
    <row r="519" ht="14.25" customHeight="1" s="160"/>
    <row r="520" ht="14.25" customHeight="1" s="160"/>
    <row r="521" ht="14.25" customHeight="1" s="160"/>
    <row r="522" ht="14.25" customHeight="1" s="160"/>
    <row r="523" ht="14.25" customHeight="1" s="160"/>
    <row r="524" ht="14.25" customHeight="1" s="160"/>
    <row r="525" ht="14.25" customHeight="1" s="160"/>
    <row r="526" ht="14.25" customHeight="1" s="160"/>
    <row r="527" ht="14.25" customHeight="1" s="160"/>
    <row r="528" ht="14.25" customHeight="1" s="160"/>
    <row r="529" ht="14.25" customHeight="1" s="160"/>
    <row r="530" ht="14.25" customHeight="1" s="160"/>
    <row r="531" ht="14.25" customHeight="1" s="160"/>
    <row r="532" ht="14.25" customHeight="1" s="160"/>
    <row r="533" ht="14.25" customHeight="1" s="160"/>
    <row r="534" ht="14.25" customHeight="1" s="160"/>
    <row r="535" ht="14.25" customHeight="1" s="160"/>
    <row r="536" ht="14.25" customHeight="1" s="160"/>
    <row r="537" ht="14.25" customHeight="1" s="160"/>
    <row r="538" ht="14.25" customHeight="1" s="160"/>
    <row r="539" ht="14.25" customHeight="1" s="160"/>
    <row r="540" ht="14.25" customHeight="1" s="160"/>
    <row r="541" ht="14.25" customHeight="1" s="160"/>
    <row r="542" ht="14.25" customHeight="1" s="160"/>
    <row r="543" ht="14.25" customHeight="1" s="160"/>
    <row r="544" ht="14.25" customHeight="1" s="160"/>
    <row r="545" ht="14.25" customHeight="1" s="160"/>
    <row r="546" ht="14.25" customHeight="1" s="160"/>
    <row r="547" ht="14.25" customHeight="1" s="160"/>
    <row r="548" ht="14.25" customHeight="1" s="160"/>
    <row r="549" ht="14.25" customHeight="1" s="160"/>
    <row r="550" ht="14.25" customHeight="1" s="160"/>
    <row r="551" ht="14.25" customHeight="1" s="160"/>
    <row r="552" ht="14.25" customHeight="1" s="160"/>
    <row r="553" ht="14.25" customHeight="1" s="160"/>
    <row r="554" ht="14.25" customHeight="1" s="160"/>
    <row r="555" ht="14.25" customHeight="1" s="160"/>
    <row r="556" ht="14.25" customHeight="1" s="160"/>
    <row r="557" ht="14.25" customHeight="1" s="160"/>
    <row r="558" ht="14.25" customHeight="1" s="160"/>
    <row r="559" ht="14.25" customHeight="1" s="160"/>
    <row r="560" ht="14.25" customHeight="1" s="160"/>
    <row r="561" ht="14.25" customHeight="1" s="160"/>
    <row r="562" ht="14.25" customHeight="1" s="160"/>
    <row r="563" ht="14.25" customHeight="1" s="160"/>
    <row r="564" ht="14.25" customHeight="1" s="160"/>
    <row r="565" ht="14.25" customHeight="1" s="160"/>
    <row r="566" ht="14.25" customHeight="1" s="160"/>
    <row r="567" ht="14.25" customHeight="1" s="160"/>
    <row r="568" ht="14.25" customHeight="1" s="160"/>
    <row r="569" ht="14.25" customHeight="1" s="160"/>
    <row r="570" ht="14.25" customHeight="1" s="160"/>
    <row r="571" ht="14.25" customHeight="1" s="160"/>
    <row r="572" ht="14.25" customHeight="1" s="160"/>
    <row r="573" ht="14.25" customHeight="1" s="160"/>
    <row r="574" ht="14.25" customHeight="1" s="160"/>
    <row r="575" ht="14.25" customHeight="1" s="160"/>
    <row r="576" ht="14.25" customHeight="1" s="160"/>
    <row r="577" ht="14.25" customHeight="1" s="160"/>
    <row r="578" ht="14.25" customHeight="1" s="160"/>
    <row r="579" ht="14.25" customHeight="1" s="160"/>
    <row r="580" ht="14.25" customHeight="1" s="160"/>
    <row r="581" ht="14.25" customHeight="1" s="160"/>
    <row r="582" ht="14.25" customHeight="1" s="160"/>
    <row r="583" ht="14.25" customHeight="1" s="160"/>
    <row r="584" ht="14.25" customHeight="1" s="160"/>
    <row r="585" ht="14.25" customHeight="1" s="160"/>
    <row r="586" ht="14.25" customHeight="1" s="160"/>
    <row r="587" ht="14.25" customHeight="1" s="160"/>
    <row r="588" ht="14.25" customHeight="1" s="160"/>
    <row r="589" ht="14.25" customHeight="1" s="160"/>
    <row r="590" ht="14.25" customHeight="1" s="160"/>
    <row r="591" ht="14.25" customHeight="1" s="160"/>
    <row r="592" ht="14.25" customHeight="1" s="160"/>
    <row r="593" ht="14.25" customHeight="1" s="160"/>
    <row r="594" ht="14.25" customHeight="1" s="160"/>
    <row r="595" ht="14.25" customHeight="1" s="160"/>
    <row r="596" ht="14.25" customHeight="1" s="160"/>
    <row r="597" ht="14.25" customHeight="1" s="160"/>
    <row r="598" ht="14.25" customHeight="1" s="160"/>
    <row r="599" ht="14.25" customHeight="1" s="160"/>
    <row r="600" ht="14.25" customHeight="1" s="160"/>
    <row r="601" ht="14.25" customHeight="1" s="160"/>
    <row r="602" ht="14.25" customHeight="1" s="160"/>
    <row r="603" ht="14.25" customHeight="1" s="160"/>
    <row r="604" ht="14.25" customHeight="1" s="160"/>
    <row r="605" ht="14.25" customHeight="1" s="160"/>
    <row r="606" ht="14.25" customHeight="1" s="160"/>
    <row r="607" ht="14.25" customHeight="1" s="160"/>
    <row r="608" ht="14.25" customHeight="1" s="160"/>
    <row r="609" ht="14.25" customHeight="1" s="160"/>
    <row r="610" ht="14.25" customHeight="1" s="160"/>
    <row r="611" ht="14.25" customHeight="1" s="160"/>
    <row r="612" ht="14.25" customHeight="1" s="160"/>
    <row r="613" ht="14.25" customHeight="1" s="160"/>
    <row r="614" ht="14.25" customHeight="1" s="160"/>
    <row r="615" ht="14.25" customHeight="1" s="160"/>
    <row r="616" ht="14.25" customHeight="1" s="160"/>
    <row r="617" ht="14.25" customHeight="1" s="160"/>
    <row r="618" ht="14.25" customHeight="1" s="160"/>
    <row r="619" ht="14.25" customHeight="1" s="160"/>
    <row r="620" ht="14.25" customHeight="1" s="160"/>
    <row r="621" ht="14.25" customHeight="1" s="160"/>
    <row r="622" ht="14.25" customHeight="1" s="160"/>
    <row r="623" ht="14.25" customHeight="1" s="160"/>
    <row r="624" ht="14.25" customHeight="1" s="160"/>
    <row r="625" ht="14.25" customHeight="1" s="160"/>
    <row r="626" ht="14.25" customHeight="1" s="160"/>
    <row r="627" ht="14.25" customHeight="1" s="160"/>
    <row r="628" ht="14.25" customHeight="1" s="160"/>
    <row r="629" ht="14.25" customHeight="1" s="160"/>
    <row r="630" ht="14.25" customHeight="1" s="160"/>
    <row r="631" ht="14.25" customHeight="1" s="160"/>
    <row r="632" ht="14.25" customHeight="1" s="160"/>
    <row r="633" ht="14.25" customHeight="1" s="160"/>
    <row r="634" ht="14.25" customHeight="1" s="160"/>
    <row r="635" ht="14.25" customHeight="1" s="160"/>
    <row r="636" ht="14.25" customHeight="1" s="160"/>
    <row r="637" ht="14.25" customHeight="1" s="160"/>
    <row r="638" ht="14.25" customHeight="1" s="160"/>
    <row r="639" ht="14.25" customHeight="1" s="160"/>
    <row r="640" ht="14.25" customHeight="1" s="160"/>
    <row r="641" ht="14.25" customHeight="1" s="160"/>
    <row r="642" ht="14.25" customHeight="1" s="160"/>
    <row r="643" ht="14.25" customHeight="1" s="160"/>
    <row r="644" ht="14.25" customHeight="1" s="160"/>
    <row r="645" ht="14.25" customHeight="1" s="160"/>
    <row r="646" ht="14.25" customHeight="1" s="160"/>
    <row r="647" ht="14.25" customHeight="1" s="160"/>
    <row r="648" ht="14.25" customHeight="1" s="160"/>
    <row r="649" ht="14.25" customHeight="1" s="160"/>
    <row r="650" ht="14.25" customHeight="1" s="160"/>
    <row r="651" ht="14.25" customHeight="1" s="160"/>
    <row r="652" ht="14.25" customHeight="1" s="160"/>
    <row r="653" ht="14.25" customHeight="1" s="160"/>
    <row r="654" ht="14.25" customHeight="1" s="160"/>
    <row r="655" ht="14.25" customHeight="1" s="160"/>
    <row r="656" ht="14.25" customHeight="1" s="160"/>
    <row r="657" ht="14.25" customHeight="1" s="160"/>
    <row r="658" ht="14.25" customHeight="1" s="160"/>
    <row r="659" ht="14.25" customHeight="1" s="160"/>
    <row r="660" ht="14.25" customHeight="1" s="160"/>
    <row r="661" ht="14.25" customHeight="1" s="160"/>
    <row r="662" ht="14.25" customHeight="1" s="160"/>
    <row r="663" ht="14.25" customHeight="1" s="160"/>
    <row r="664" ht="14.25" customHeight="1" s="160"/>
    <row r="665" ht="14.25" customHeight="1" s="160"/>
    <row r="666" ht="14.25" customHeight="1" s="160"/>
    <row r="667" ht="14.25" customHeight="1" s="160"/>
    <row r="668" ht="14.25" customHeight="1" s="160"/>
    <row r="669" ht="14.25" customHeight="1" s="160"/>
    <row r="670" ht="14.25" customHeight="1" s="160"/>
    <row r="671" ht="14.25" customHeight="1" s="160"/>
    <row r="672" ht="14.25" customHeight="1" s="160"/>
    <row r="673" ht="14.25" customHeight="1" s="160"/>
    <row r="674" ht="14.25" customHeight="1" s="160"/>
    <row r="675" ht="14.25" customHeight="1" s="160"/>
    <row r="676" ht="14.25" customHeight="1" s="160"/>
    <row r="677" ht="14.25" customHeight="1" s="160"/>
    <row r="678" ht="14.25" customHeight="1" s="160"/>
    <row r="679" ht="14.25" customHeight="1" s="160"/>
    <row r="680" ht="14.25" customHeight="1" s="160"/>
    <row r="681" ht="14.25" customHeight="1" s="160"/>
    <row r="682" ht="14.25" customHeight="1" s="160"/>
    <row r="683" ht="14.25" customHeight="1" s="160"/>
    <row r="684" ht="14.25" customHeight="1" s="160"/>
    <row r="685" ht="14.25" customHeight="1" s="160"/>
    <row r="686" ht="14.25" customHeight="1" s="160"/>
    <row r="687" ht="14.25" customHeight="1" s="160"/>
    <row r="688" ht="14.25" customHeight="1" s="160"/>
    <row r="689" ht="14.25" customHeight="1" s="160"/>
    <row r="690" ht="14.25" customHeight="1" s="160"/>
    <row r="691" ht="14.25" customHeight="1" s="160"/>
    <row r="692" ht="14.25" customHeight="1" s="160"/>
    <row r="693" ht="14.25" customHeight="1" s="160"/>
    <row r="694" ht="14.25" customHeight="1" s="160"/>
    <row r="695" ht="14.25" customHeight="1" s="160"/>
    <row r="696" ht="14.25" customHeight="1" s="160"/>
    <row r="697" ht="14.25" customHeight="1" s="160"/>
    <row r="698" ht="14.25" customHeight="1" s="160"/>
    <row r="699" ht="14.25" customHeight="1" s="160"/>
    <row r="700" ht="14.25" customHeight="1" s="160"/>
    <row r="701" ht="14.25" customHeight="1" s="160"/>
    <row r="702" ht="14.25" customHeight="1" s="160"/>
    <row r="703" ht="14.25" customHeight="1" s="160"/>
    <row r="704" ht="14.25" customHeight="1" s="160"/>
    <row r="705" ht="14.25" customHeight="1" s="160"/>
    <row r="706" ht="14.25" customHeight="1" s="160"/>
    <row r="707" ht="14.25" customHeight="1" s="160"/>
    <row r="708" ht="14.25" customHeight="1" s="160"/>
    <row r="709" ht="14.25" customHeight="1" s="160"/>
    <row r="710" ht="14.25" customHeight="1" s="160"/>
    <row r="711" ht="14.25" customHeight="1" s="160"/>
    <row r="712" ht="14.25" customHeight="1" s="160"/>
    <row r="713" ht="14.25" customHeight="1" s="160"/>
    <row r="714" ht="14.25" customHeight="1" s="160"/>
    <row r="715" ht="14.25" customHeight="1" s="160"/>
    <row r="716" ht="14.25" customHeight="1" s="160"/>
    <row r="717" ht="14.25" customHeight="1" s="160"/>
    <row r="718" ht="14.25" customHeight="1" s="160"/>
    <row r="719" ht="14.25" customHeight="1" s="160"/>
    <row r="720" ht="14.25" customHeight="1" s="160"/>
    <row r="721" ht="14.25" customHeight="1" s="160"/>
    <row r="722" ht="14.25" customHeight="1" s="160"/>
    <row r="723" ht="14.25" customHeight="1" s="160"/>
    <row r="724" ht="14.25" customHeight="1" s="160"/>
    <row r="725" ht="14.25" customHeight="1" s="160"/>
    <row r="726" ht="14.25" customHeight="1" s="160"/>
    <row r="727" ht="14.25" customHeight="1" s="160"/>
    <row r="728" ht="14.25" customHeight="1" s="160"/>
    <row r="729" ht="14.25" customHeight="1" s="160"/>
    <row r="730" ht="14.25" customHeight="1" s="160"/>
    <row r="731" ht="14.25" customHeight="1" s="160"/>
    <row r="732" ht="14.25" customHeight="1" s="160"/>
    <row r="733" ht="14.25" customHeight="1" s="160"/>
    <row r="734" ht="14.25" customHeight="1" s="160"/>
    <row r="735" ht="14.25" customHeight="1" s="160"/>
    <row r="736" ht="14.25" customHeight="1" s="160"/>
    <row r="737" ht="14.25" customHeight="1" s="160"/>
    <row r="738" ht="14.25" customHeight="1" s="160"/>
    <row r="739" ht="14.25" customHeight="1" s="160"/>
    <row r="740" ht="14.25" customHeight="1" s="160"/>
    <row r="741" ht="14.25" customHeight="1" s="160"/>
    <row r="742" ht="14.25" customHeight="1" s="160"/>
    <row r="743" ht="14.25" customHeight="1" s="160"/>
    <row r="744" ht="14.25" customHeight="1" s="160"/>
    <row r="745" ht="14.25" customHeight="1" s="160"/>
    <row r="746" ht="14.25" customHeight="1" s="160"/>
    <row r="747" ht="14.25" customHeight="1" s="160"/>
    <row r="748" ht="14.25" customHeight="1" s="160"/>
    <row r="749" ht="14.25" customHeight="1" s="160"/>
    <row r="750" ht="14.25" customHeight="1" s="160"/>
    <row r="751" ht="14.25" customHeight="1" s="160"/>
    <row r="752" ht="14.25" customHeight="1" s="160"/>
    <row r="753" ht="14.25" customHeight="1" s="160"/>
    <row r="754" ht="14.25" customHeight="1" s="160"/>
    <row r="755" ht="14.25" customHeight="1" s="160"/>
    <row r="756" ht="14.25" customHeight="1" s="160"/>
    <row r="757" ht="14.25" customHeight="1" s="160"/>
    <row r="758" ht="14.25" customHeight="1" s="160"/>
    <row r="759" ht="14.25" customHeight="1" s="160"/>
    <row r="760" ht="14.25" customHeight="1" s="160"/>
    <row r="761" ht="14.25" customHeight="1" s="160"/>
    <row r="762" ht="14.25" customHeight="1" s="160"/>
    <row r="763" ht="14.25" customHeight="1" s="160"/>
    <row r="764" ht="14.25" customHeight="1" s="160"/>
    <row r="765" ht="14.25" customHeight="1" s="160"/>
    <row r="766" ht="14.25" customHeight="1" s="160"/>
    <row r="767" ht="14.25" customHeight="1" s="160"/>
    <row r="768" ht="14.25" customHeight="1" s="160"/>
    <row r="769" ht="14.25" customHeight="1" s="160"/>
    <row r="770" ht="14.25" customHeight="1" s="160"/>
    <row r="771" ht="14.25" customHeight="1" s="160"/>
    <row r="772" ht="14.25" customHeight="1" s="160"/>
    <row r="773" ht="14.25" customHeight="1" s="160"/>
    <row r="774" ht="14.25" customHeight="1" s="160"/>
    <row r="775" ht="14.25" customHeight="1" s="160"/>
    <row r="776" ht="14.25" customHeight="1" s="160"/>
    <row r="777" ht="14.25" customHeight="1" s="160"/>
    <row r="778" ht="14.25" customHeight="1" s="160"/>
    <row r="779" ht="14.25" customHeight="1" s="160"/>
    <row r="780" ht="14.25" customHeight="1" s="160"/>
    <row r="781" ht="14.25" customHeight="1" s="160"/>
    <row r="782" ht="14.25" customHeight="1" s="160"/>
    <row r="783" ht="14.25" customHeight="1" s="160"/>
    <row r="784" ht="14.25" customHeight="1" s="160"/>
    <row r="785" ht="14.25" customHeight="1" s="160"/>
    <row r="786" ht="14.25" customHeight="1" s="160"/>
    <row r="787" ht="14.25" customHeight="1" s="160"/>
    <row r="788" ht="14.25" customHeight="1" s="160"/>
    <row r="789" ht="14.25" customHeight="1" s="160"/>
    <row r="790" ht="14.25" customHeight="1" s="160"/>
    <row r="791" ht="14.25" customHeight="1" s="160"/>
    <row r="792" ht="14.25" customHeight="1" s="160"/>
    <row r="793" ht="14.25" customHeight="1" s="160"/>
    <row r="794" ht="14.25" customHeight="1" s="160"/>
    <row r="795" ht="14.25" customHeight="1" s="160"/>
    <row r="796" ht="14.25" customHeight="1" s="160"/>
    <row r="797" ht="14.25" customHeight="1" s="160"/>
    <row r="798" ht="14.25" customHeight="1" s="160"/>
    <row r="799" ht="14.25" customHeight="1" s="160"/>
    <row r="800" ht="14.25" customHeight="1" s="160"/>
    <row r="801" ht="14.25" customHeight="1" s="160"/>
    <row r="802" ht="14.25" customHeight="1" s="160"/>
    <row r="803" ht="14.25" customHeight="1" s="160"/>
    <row r="804" ht="14.25" customHeight="1" s="160"/>
    <row r="805" ht="14.25" customHeight="1" s="160"/>
    <row r="806" ht="14.25" customHeight="1" s="160"/>
    <row r="807" ht="14.25" customHeight="1" s="160"/>
    <row r="808" ht="14.25" customHeight="1" s="160"/>
    <row r="809" ht="14.25" customHeight="1" s="160"/>
    <row r="810" ht="14.25" customHeight="1" s="160"/>
    <row r="811" ht="14.25" customHeight="1" s="160"/>
    <row r="812" ht="14.25" customHeight="1" s="160"/>
    <row r="813" ht="14.25" customHeight="1" s="160"/>
    <row r="814" ht="14.25" customHeight="1" s="160"/>
    <row r="815" ht="14.25" customHeight="1" s="160"/>
    <row r="816" ht="14.25" customHeight="1" s="160"/>
    <row r="817" ht="14.25" customHeight="1" s="160"/>
    <row r="818" ht="14.25" customHeight="1" s="160"/>
    <row r="819" ht="14.25" customHeight="1" s="160"/>
    <row r="820" ht="14.25" customHeight="1" s="160"/>
    <row r="821" ht="14.25" customHeight="1" s="160"/>
    <row r="822" ht="14.25" customHeight="1" s="160"/>
    <row r="823" ht="14.25" customHeight="1" s="160"/>
    <row r="824" ht="14.25" customHeight="1" s="160"/>
    <row r="825" ht="14.25" customHeight="1" s="160"/>
    <row r="826" ht="14.25" customHeight="1" s="160"/>
    <row r="827" ht="14.25" customHeight="1" s="160"/>
    <row r="828" ht="14.25" customHeight="1" s="160"/>
    <row r="829" ht="14.25" customHeight="1" s="160"/>
    <row r="830" ht="14.25" customHeight="1" s="160"/>
    <row r="831" ht="14.25" customHeight="1" s="160"/>
    <row r="832" ht="14.25" customHeight="1" s="160"/>
    <row r="833" ht="14.25" customHeight="1" s="160"/>
    <row r="834" ht="14.25" customHeight="1" s="160"/>
    <row r="835" ht="14.25" customHeight="1" s="160"/>
    <row r="836" ht="14.25" customHeight="1" s="160"/>
    <row r="837" ht="14.25" customHeight="1" s="160"/>
    <row r="838" ht="14.25" customHeight="1" s="160"/>
    <row r="839" ht="14.25" customHeight="1" s="160"/>
    <row r="840" ht="14.25" customHeight="1" s="160"/>
    <row r="841" ht="14.25" customHeight="1" s="160"/>
    <row r="842" ht="14.25" customHeight="1" s="160"/>
    <row r="843" ht="14.25" customHeight="1" s="160"/>
    <row r="844" ht="14.25" customHeight="1" s="160"/>
    <row r="845" ht="14.25" customHeight="1" s="160"/>
    <row r="846" ht="14.25" customHeight="1" s="160"/>
    <row r="847" ht="14.25" customHeight="1" s="160"/>
    <row r="848" ht="14.25" customHeight="1" s="160"/>
    <row r="849" ht="14.25" customHeight="1" s="160"/>
    <row r="850" ht="14.25" customHeight="1" s="160"/>
    <row r="851" ht="14.25" customHeight="1" s="160"/>
    <row r="852" ht="14.25" customHeight="1" s="160"/>
    <row r="853" ht="14.25" customHeight="1" s="160"/>
    <row r="854" ht="14.25" customHeight="1" s="160"/>
    <row r="855" ht="14.25" customHeight="1" s="160"/>
    <row r="856" ht="14.25" customHeight="1" s="160"/>
    <row r="857" ht="14.25" customHeight="1" s="160"/>
    <row r="858" ht="14.25" customHeight="1" s="160"/>
    <row r="859" ht="14.25" customHeight="1" s="160"/>
    <row r="860" ht="14.25" customHeight="1" s="160"/>
    <row r="861" ht="14.25" customHeight="1" s="160"/>
    <row r="862" ht="14.25" customHeight="1" s="160"/>
    <row r="863" ht="14.25" customHeight="1" s="160"/>
    <row r="864" ht="14.25" customHeight="1" s="160"/>
    <row r="865" ht="14.25" customHeight="1" s="160"/>
    <row r="866" ht="14.25" customHeight="1" s="160"/>
    <row r="867" ht="14.25" customHeight="1" s="160"/>
    <row r="868" ht="14.25" customHeight="1" s="160"/>
    <row r="869" ht="14.25" customHeight="1" s="160"/>
    <row r="870" ht="14.25" customHeight="1" s="160"/>
    <row r="871" ht="14.25" customHeight="1" s="160"/>
    <row r="872" ht="14.25" customHeight="1" s="160"/>
    <row r="873" ht="14.25" customHeight="1" s="160"/>
    <row r="874" ht="14.25" customHeight="1" s="160"/>
    <row r="875" ht="14.25" customHeight="1" s="160"/>
    <row r="876" ht="14.25" customHeight="1" s="160"/>
    <row r="877" ht="14.25" customHeight="1" s="160"/>
    <row r="878" ht="14.25" customHeight="1" s="160"/>
    <row r="879" ht="14.25" customHeight="1" s="160"/>
    <row r="880" ht="14.25" customHeight="1" s="160"/>
    <row r="881" ht="14.25" customHeight="1" s="160"/>
    <row r="882" ht="14.25" customHeight="1" s="160"/>
    <row r="883" ht="14.25" customHeight="1" s="160"/>
    <row r="884" ht="14.25" customHeight="1" s="160"/>
    <row r="885" ht="14.25" customHeight="1" s="160"/>
    <row r="886" ht="14.25" customHeight="1" s="160"/>
    <row r="887" ht="14.25" customHeight="1" s="160"/>
    <row r="888" ht="14.25" customHeight="1" s="160"/>
    <row r="889" ht="14.25" customHeight="1" s="160"/>
    <row r="890" ht="14.25" customHeight="1" s="160"/>
    <row r="891" ht="14.25" customHeight="1" s="160"/>
    <row r="892" ht="14.25" customHeight="1" s="160"/>
    <row r="893" ht="14.25" customHeight="1" s="160"/>
    <row r="894" ht="14.25" customHeight="1" s="160"/>
    <row r="895" ht="14.25" customHeight="1" s="160"/>
    <row r="896" ht="14.25" customHeight="1" s="160"/>
    <row r="897" ht="14.25" customHeight="1" s="160"/>
    <row r="898" ht="14.25" customHeight="1" s="160"/>
    <row r="899" ht="14.25" customHeight="1" s="160"/>
    <row r="900" ht="14.25" customHeight="1" s="160"/>
    <row r="901" ht="14.25" customHeight="1" s="160"/>
    <row r="902" ht="14.25" customHeight="1" s="160"/>
    <row r="903" ht="14.25" customHeight="1" s="160"/>
    <row r="904" ht="14.25" customHeight="1" s="160"/>
    <row r="905" ht="14.25" customHeight="1" s="160"/>
    <row r="906" ht="14.25" customHeight="1" s="160"/>
    <row r="907" ht="14.25" customHeight="1" s="160"/>
    <row r="908" ht="14.25" customHeight="1" s="160"/>
    <row r="909" ht="14.25" customHeight="1" s="160"/>
    <row r="910" ht="14.25" customHeight="1" s="160"/>
    <row r="911" ht="14.25" customHeight="1" s="160"/>
    <row r="912" ht="14.25" customHeight="1" s="160"/>
    <row r="913" ht="14.25" customHeight="1" s="160"/>
    <row r="914" ht="14.25" customHeight="1" s="160"/>
    <row r="915" ht="14.25" customHeight="1" s="160"/>
    <row r="916" ht="14.25" customHeight="1" s="160"/>
    <row r="917" ht="14.25" customHeight="1" s="160"/>
    <row r="918" ht="14.25" customHeight="1" s="160"/>
    <row r="919" ht="14.25" customHeight="1" s="160"/>
    <row r="920" ht="14.25" customHeight="1" s="160"/>
    <row r="921" ht="14.25" customHeight="1" s="160"/>
    <row r="922" ht="14.25" customHeight="1" s="160"/>
    <row r="923" ht="14.25" customHeight="1" s="160"/>
    <row r="924" ht="14.25" customHeight="1" s="160"/>
    <row r="925" ht="14.25" customHeight="1" s="160"/>
    <row r="926" ht="14.25" customHeight="1" s="160"/>
    <row r="927" ht="14.25" customHeight="1" s="160"/>
    <row r="928" ht="14.25" customHeight="1" s="160"/>
    <row r="929" ht="14.25" customHeight="1" s="160"/>
    <row r="930" ht="14.25" customHeight="1" s="160"/>
    <row r="931" ht="14.25" customHeight="1" s="160"/>
    <row r="932" ht="14.25" customHeight="1" s="160"/>
    <row r="933" ht="14.25" customHeight="1" s="160"/>
    <row r="934" ht="14.25" customHeight="1" s="160"/>
    <row r="935" ht="14.25" customHeight="1" s="160"/>
    <row r="936" ht="14.25" customHeight="1" s="160"/>
    <row r="937" ht="14.25" customHeight="1" s="160"/>
    <row r="938" ht="14.25" customHeight="1" s="160"/>
    <row r="939" ht="14.25" customHeight="1" s="160"/>
    <row r="940" ht="14.25" customHeight="1" s="160"/>
    <row r="941" ht="14.25" customHeight="1" s="160"/>
    <row r="942" ht="14.25" customHeight="1" s="160"/>
    <row r="943" ht="14.25" customHeight="1" s="160"/>
    <row r="944" ht="14.25" customHeight="1" s="160"/>
    <row r="945" ht="14.25" customHeight="1" s="160"/>
    <row r="946" ht="14.25" customHeight="1" s="160"/>
    <row r="947" ht="14.25" customHeight="1" s="160"/>
    <row r="948" ht="14.25" customHeight="1" s="160"/>
    <row r="949" ht="14.25" customHeight="1" s="160"/>
    <row r="950" ht="14.25" customHeight="1" s="160"/>
    <row r="951" ht="14.25" customHeight="1" s="160"/>
    <row r="952" ht="14.25" customHeight="1" s="160"/>
    <row r="953" ht="14.25" customHeight="1" s="160"/>
    <row r="954" ht="14.25" customHeight="1" s="160"/>
    <row r="955" ht="14.25" customHeight="1" s="160"/>
    <row r="956" ht="14.25" customHeight="1" s="160"/>
    <row r="957" ht="14.25" customHeight="1" s="160"/>
    <row r="958" ht="14.25" customHeight="1" s="160"/>
    <row r="959" ht="14.25" customHeight="1" s="160"/>
    <row r="960" ht="14.25" customHeight="1" s="160"/>
    <row r="961" ht="14.25" customHeight="1" s="160"/>
    <row r="962" ht="14.25" customHeight="1" s="160"/>
    <row r="963" ht="14.25" customHeight="1" s="160"/>
    <row r="964" ht="14.25" customHeight="1" s="160"/>
    <row r="965" ht="14.25" customHeight="1" s="160"/>
    <row r="966" ht="14.25" customHeight="1" s="160"/>
    <row r="967" ht="14.25" customHeight="1" s="160"/>
    <row r="968" ht="14.25" customHeight="1" s="160"/>
    <row r="969" ht="14.25" customHeight="1" s="160"/>
    <row r="970" ht="14.25" customHeight="1" s="160"/>
    <row r="971" ht="14.25" customHeight="1" s="160"/>
    <row r="972" ht="14.25" customHeight="1" s="160"/>
    <row r="973" ht="14.25" customHeight="1" s="160"/>
    <row r="974" ht="14.25" customHeight="1" s="160"/>
    <row r="975" ht="14.25" customHeight="1" s="160"/>
    <row r="976" ht="14.25" customHeight="1" s="160"/>
    <row r="977" ht="14.25" customHeight="1" s="160"/>
    <row r="978" ht="14.25" customHeight="1" s="160"/>
    <row r="979" ht="14.25" customHeight="1" s="160"/>
    <row r="980" ht="14.25" customHeight="1" s="160"/>
    <row r="981" ht="14.25" customHeight="1" s="160"/>
    <row r="982" ht="14.25" customHeight="1" s="160"/>
    <row r="983" ht="14.25" customHeight="1" s="160"/>
    <row r="984" ht="14.25" customHeight="1" s="160"/>
    <row r="985" ht="14.25" customHeight="1" s="160"/>
    <row r="986" ht="14.25" customHeight="1" s="160"/>
    <row r="987" ht="14.25" customHeight="1" s="160"/>
    <row r="988" ht="14.25" customHeight="1" s="160"/>
    <row r="989" ht="14.25" customHeight="1" s="160"/>
    <row r="990" ht="14.25" customHeight="1" s="160"/>
    <row r="991" ht="14.25" customHeight="1" s="160"/>
    <row r="992" ht="14.25" customHeight="1" s="160"/>
    <row r="993" ht="14.25" customHeight="1" s="160"/>
    <row r="994" ht="14.25" customHeight="1" s="160"/>
    <row r="995" ht="14.25" customHeight="1" s="160"/>
    <row r="996" ht="14.25" customHeight="1" s="160"/>
    <row r="997" ht="14.25" customHeight="1" s="160"/>
    <row r="998" ht="14.25" customHeight="1" s="160"/>
    <row r="999" ht="14.25" customHeight="1" s="160"/>
    <row r="1000" ht="14.25" customHeight="1" s="160"/>
  </sheetData>
  <autoFilter ref="A4:E10"/>
  <mergeCells count="1">
    <mergeCell ref="B1:D2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Miss. BT Mokhuane</dc:creator>
  <dcterms:created xmlns:dcterms="http://purl.org/dc/terms/" xmlns:xsi="http://www.w3.org/2001/XMLSchema-instance" xsi:type="dcterms:W3CDTF">2026-07-29T08:46:58Z</dcterms:created>
  <dcterms:modified xmlns:dcterms="http://purl.org/dc/terms/" xmlns:xsi="http://www.w3.org/2001/XMLSchema-instance" xsi:type="dcterms:W3CDTF">2026-09-06T15:29:56Z</dcterms:modified>
  <cp:lastModifiedBy>Boitumelo Mokhuane</cp:lastModifiedBy>
</cp:coreProperties>
</file>